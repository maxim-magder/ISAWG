
<file path=[Content_Types].xml><?xml version="1.0" encoding="utf-8"?>
<Types xmlns="http://schemas.openxmlformats.org/package/2006/content-types">
  <Default ContentType="image/jpeg" Extension="jpg"/>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3"/>
  </sheets>
  <definedNames/>
  <calcPr/>
</workbook>
</file>

<file path=xl/sharedStrings.xml><?xml version="1.0" encoding="utf-8"?>
<sst xmlns="http://schemas.openxmlformats.org/spreadsheetml/2006/main" count="4489" uniqueCount="2508">
  <si>
    <t>Y-DNA Haplogroup S and its Subclades - 2019-2020</t>
  </si>
  <si>
    <t xml:space="preserve">    Downloading this spreadsheet as Excel retains format better than copying.  Links to other sites may not copy.</t>
  </si>
  <si>
    <t xml:space="preserve">The entire work is identified by the Version Number and date given on  </t>
  </si>
  <si>
    <t xml:space="preserve">Directions for citing the document are listed on </t>
  </si>
  <si>
    <t>Version History</t>
  </si>
  <si>
    <t>Last revision date for this specific page: 4 August 2020</t>
  </si>
  <si>
    <t>Because of continuing research, structure of the Y-DNA Haplogroup Tree changes and will be updated when possible.</t>
  </si>
  <si>
    <t>If differences need clarification or if you find  broken links on this page:</t>
  </si>
  <si>
    <t>Email Ray Banks</t>
  </si>
  <si>
    <t>LINKS:</t>
  </si>
  <si>
    <t>Papers/Presentations Cited</t>
  </si>
  <si>
    <t>Copyright 2020, International Society of Genetic Genealogy.</t>
  </si>
  <si>
    <t>Glossary</t>
  </si>
  <si>
    <t>FONT COLORS:</t>
  </si>
  <si>
    <t xml:space="preserve">      Newly confirmed in 2019 within subclade   </t>
  </si>
  <si>
    <t xml:space="preserve">Confirmed within subclade  </t>
  </si>
  <si>
    <t xml:space="preserve">      Investigational items</t>
  </si>
  <si>
    <t>SYMBOLS:</t>
  </si>
  <si>
    <t>^ Indicates a next-generation sequencing entry which does not yet meet quality guidelines for minimum number of reads.</t>
  </si>
  <si>
    <t>^^ Indicates an entry which does not meet quality guidelines but may be helpful.</t>
  </si>
  <si>
    <t>~ Indicates only an approximate location on the tree.</t>
  </si>
  <si>
    <r>
      <rPr>
        <rFont val="Times New Roman"/>
        <sz val="12.0"/>
      </rPr>
      <t xml:space="preserve">The criteria for a representative SNP printed in </t>
    </r>
    <r>
      <rPr>
        <rFont val="Times New Roman"/>
        <b/>
        <sz val="12.0"/>
      </rPr>
      <t>bold</t>
    </r>
    <r>
      <rPr>
        <rFont val="Times New Roman"/>
        <sz val="12.0"/>
      </rPr>
      <t xml:space="preserve"> for a subclade is:  traditional usage, testing done in multiple labs, and/or being found in the area of the chromosome used in recent research studies.</t>
    </r>
  </si>
  <si>
    <r>
      <rPr>
        <rFont val="Times New Roman"/>
        <sz val="12.0"/>
      </rPr>
      <t xml:space="preserve">SNPs listed below in </t>
    </r>
    <r>
      <rPr>
        <rFont val="Times New Roman"/>
        <i/>
        <sz val="12.0"/>
      </rPr>
      <t>italics</t>
    </r>
    <r>
      <rPr>
        <rFont val="Times New Roman"/>
        <sz val="12.0"/>
      </rPr>
      <t xml:space="preserve"> (colored black or red) are quality variants from next-generation sequencing reports consistently showing as representing that subgroup.</t>
    </r>
  </si>
  <si>
    <t>DID YOU NOTICE that the items in gray sometimes have a long name preceding their listing that is the same as just above?  In this situation, evidence seems to indicate they also seem to belong to the same subgroup, but some confirmatory evidence is not yet available.</t>
  </si>
  <si>
    <t>S</t>
  </si>
  <si>
    <r>
      <rPr>
        <b/>
        <i/>
      </rPr>
      <t>B254</t>
    </r>
    <r>
      <rPr>
        <i/>
      </rPr>
      <t>, Z33355</t>
    </r>
  </si>
  <si>
    <t>S1</t>
  </si>
  <si>
    <t>B255</t>
  </si>
  <si>
    <t xml:space="preserve">S1a </t>
  </si>
  <si>
    <r>
      <rPr>
        <b/>
        <i/>
      </rPr>
      <t>Z41335</t>
    </r>
    <r>
      <rPr>
        <i/>
      </rPr>
      <t>, Z41336, Z41337, Z41338, Z41339, Z41340, Z41341</t>
    </r>
  </si>
  <si>
    <t>S1a~</t>
  </si>
  <si>
    <t>P405, Y26165^^</t>
  </si>
  <si>
    <t xml:space="preserve">S1a1 </t>
  </si>
  <si>
    <r>
      <rPr>
        <b/>
        <i/>
      </rPr>
      <t>Z42413</t>
    </r>
    <r>
      <rPr>
        <i/>
      </rPr>
      <t>, Z42414, Z42415, Z42416, Z42417, Z42418. Z42419, Z42420</t>
    </r>
  </si>
  <si>
    <t xml:space="preserve">S1a1a </t>
  </si>
  <si>
    <r>
      <rPr>
        <b/>
        <i/>
      </rPr>
      <t>Z41513</t>
    </r>
    <r>
      <rPr>
        <i/>
      </rPr>
      <t>, AM00651.2/Z33118.2, FGC17153.2/V3938.2/Z18210.2, FGC38729, M10072, Z41514, Z41515, Z41516, Z41517, Z41518, Z41519, Z41520, Z41521, Z41522, Z41523, Z41524, Z41525, Z41526, Z41527, Z41528. Z41529, Z41530, Z41531, Z41532, Z41533, Z41534, Z41535, Z41536, Z41537, Z41538, Z41539, Z41540, Z41541, Z41542, Z41543, Z41544, Z41545, Z41546, Z41547, Z41548, Z41549, Z41550, Z41551, Z41552, Z41553, Z41554, Z41555, Z41556, Z41557, Z41558, Z41559, Z41560, Z41561, Z41562, Z41563, Z41564, Z41565, Z41566, Z41567, Z41568, Z41569, Z41570, Z41571, Z41572, Z41573, Z41574, Z41575, Z41576, Z41577, Z41578, Z41579, Z41580, Z41581, Z41582, Z41583, Z41584, Z41585, Z41586, Z41587, Z41588, Z41589, Z41590, Z41591, Z41592, Z41593, Z41594, Z41595, Z41596, Z41597, Z41598, Z41599, Z41600, Z41601, Z41602, Z41603, Z41604, Z41605, Z41606, Z41607, Z41608, Z41609, Z41610, Z41611, Z41612, Z41613, Z41614, Z41615, Z41616, Z41617, Z41618, Z41619, Z41620, Z41621. Z41622, Z41623, Z41624, Z41625, Z41626</t>
    </r>
  </si>
  <si>
    <t>S1a1a1</t>
  </si>
  <si>
    <r>
      <rPr>
        <b/>
        <i/>
      </rPr>
      <t>P308</t>
    </r>
    <r>
      <rPr>
        <i/>
      </rPr>
      <t>, Z41663, Z41664, Z41665, Z41666, Z41667, Z41668, Z41669, Z41670. Z41671, Z41672, Z41673, Z41674, Z41675, Z41676, Z41677, Z41678, Z41679, Z41680, Z41681, Z41682, Z41683, Z41684, Z41685, Z41686, Z41687, Z41688, Z41689, Z41690, Z41691, Z41692, Z41693, Z41694, Z41695, Z41696, Z41697, Z41698, Z41699, Z41700, Z41701. Z41702, Z41703, Z41704. Z41705, Z41706, Z41707, Z41708, Z41709, Z41710, Z41711, Z41712, Z41713, Z41714, Z41715, Z41716, Z41717, Z41718, Z41719, Z41720, Z41721, Z41722, Z41723, Z41724, Z41725, Z41726, Z41727, Z41728, Z41729, Z41730, Z41731, Z41732, Z41733, Z41734, Z41735, Z41736, Z41737, Z41738, Z41739, Z41740, Z41741, Z41742, Z41743, Z41744, Z41745, Z41746, Z41747</t>
    </r>
  </si>
  <si>
    <t>S1a1a1~</t>
  </si>
  <si>
    <t>P60</t>
  </si>
  <si>
    <t>S1a1a1a~</t>
  </si>
  <si>
    <t>Z41753, Z41754, Z41755, Z41756, Z41757</t>
  </si>
  <si>
    <t>S1a1a1b~</t>
  </si>
  <si>
    <t>Z41758, Z41759, Z41760, Z41761, Z41762</t>
  </si>
  <si>
    <t>S1a1a2~</t>
  </si>
  <si>
    <t>Z42470</t>
  </si>
  <si>
    <t>S1a1b</t>
  </si>
  <si>
    <r>
      <rPr>
        <b/>
      </rPr>
      <t>M230</t>
    </r>
    <r>
      <rPr/>
      <t>, P202</t>
    </r>
  </si>
  <si>
    <t>S1a1b1</t>
  </si>
  <si>
    <t>M254</t>
  </si>
  <si>
    <t>S1a1b1a</t>
  </si>
  <si>
    <t>P57</t>
  </si>
  <si>
    <t>S1a1b1b</t>
  </si>
  <si>
    <t>P61</t>
  </si>
  <si>
    <t>S1a1b1c</t>
  </si>
  <si>
    <t>P83.1</t>
  </si>
  <si>
    <t>S1a1b1d</t>
  </si>
  <si>
    <r>
      <rPr>
        <b/>
        <i/>
      </rPr>
      <t>SK1891</t>
    </r>
    <r>
      <rPr>
        <i/>
      </rPr>
      <t xml:space="preserve">, BY3295, </t>
    </r>
    <r>
      <rPr>
        <i/>
        <color rgb="FFCC0000"/>
      </rPr>
      <t>FGC9054, FT26453^^, FT61347^^,</t>
    </r>
    <r>
      <rPr>
        <i/>
      </rPr>
      <t xml:space="preserve"> SK1892, SK1893, SK1894, SK1895, SK1896, SK1898, SK1899, SK1901, </t>
    </r>
    <r>
      <rPr>
        <i/>
        <color rgb="FFCC0000"/>
      </rPr>
      <t>Y26173/Z41406, Y26224/Z41455, Y26278^^, Y26284^^, Y27756/Z41407, Y27757/Z41409,</t>
    </r>
    <r>
      <rPr>
        <i/>
      </rPr>
      <t xml:space="preserve"> Z33752, Z33753, Z41356, Z41357, Z41358, Z41359, Z41360, Z41361, Z41362, Z41363, Z41364, Z41365, Z41366, Z41367, Z41368, Z41369, Z41370, Z41371, Z41372, Z41373, Z41374, Z41375, Z41376, Z41377, Z41378. Z41379, Z41380, Z41381, Z41382, Z41383, Z41384, Z41385, Z41386, Z41387, Z41388, Z41390, Z41391, Z41392, Z41393, Z41394, Z41395, Z41396, Z41397, Z41398, Z41399, Z41400, Z41401, Z41402, Z41403, Z41404, </t>
    </r>
    <r>
      <rPr>
        <i/>
        <color rgb="FFCC0000"/>
      </rPr>
      <t>Z41408</t>
    </r>
    <r>
      <rPr>
        <i/>
      </rPr>
      <t>, Z41410, Z41411, Z41412, Z41413, Z41414, Z41415, Z41416, Z41417, Z41418, Z41419, Z41420, Z41421, Z41422, Z41423, Z41424, Z41425, Z41426, Z41427, Z41428, Z41429, Z41430. Z41431, Z41432. Z41433. Z41434, Z41435, Z41436, Z41437, Z41438, Z41439, Z41440, Z41441, Z41442, Z41443, Z41444, Z41445, Z41446, Z41447, Z41448, Z41449, Z41450, Z41451, Z41452, Z41453, Z41456, Z41457, Z41458, Z41459, Z41460, Z41461, Z41462, Z41463, Z41464. Z41465, Z41466, Z41467, Z41468, Z41469, Z41470, Z41471, Z41472, Z41473, Z41474, Z41475, Z41476, Z41477, Z41478, Z41479, Z41480, Z41481, Z41482, Z41483, Z41484, Z41485, Z41486, Z41487, Z41488, Z41489, Z41490, Z41491, Z41492, Z41493, Z41494, Z41495, Z41496, Z41497, Z41498, Z41499, Z41500, Z41501, Z41502, Z41503, Z41504</t>
    </r>
  </si>
  <si>
    <t>S1a1b1d~</t>
  </si>
  <si>
    <t>Z41355, Z41389, Z41454</t>
  </si>
  <si>
    <t>S1a1b1d1</t>
  </si>
  <si>
    <r>
      <rPr>
        <b/>
        <i/>
      </rPr>
      <t>Z41342</t>
    </r>
    <r>
      <rPr>
        <i/>
      </rPr>
      <t>, Z41343</t>
    </r>
  </si>
  <si>
    <t>S1a1b1d1a</t>
  </si>
  <si>
    <t>M226.1</t>
  </si>
  <si>
    <t>S1a1b1d1a~</t>
  </si>
  <si>
    <t>SK1906, SK1907, SK1909, SK1910, SK1912, Z41344, Z41345, Z41346, Z41347, Z41348</t>
  </si>
  <si>
    <t>S1a1b1d1b~</t>
  </si>
  <si>
    <t>SK1902, SK1903, SK1904, SK1905, Z41349, Z41350, Z41351, Z41352, Z41353</t>
  </si>
  <si>
    <t>S1a1b1d2~</t>
  </si>
  <si>
    <t>Z42467</t>
  </si>
  <si>
    <t>S1a1b1d2a~</t>
  </si>
  <si>
    <t>Z41505, Z41506, Z41507, Z41508, Z41509</t>
  </si>
  <si>
    <t>S1a1b1d2b~</t>
  </si>
  <si>
    <t>F18342, F19241, F22808, FT61350^^, FT62021, PH4133, S19576, SK1890, SK1897, SK1900, Y26126, Y26127, Y26137, Y26144, Y26154, Y26155, Y26158^^, Y26162, Y26164^^, Y26171, Y26174^^, Y26175, Y26176^^, Y26178, Y26180, Y26182, Y26184, Y26185, Y26186, Y26187, Y26188, Y26191, Y26192, Y26193, Y26195, Y26202, Y26213, Y26222, Y26223, Y26225, Y26226, Y26227, Y26229, Y26231, Y26234, Y26237, Y26238, Y26245, Y26247, Y26252, Y26259, Y26267, Y26270, Y26281^^, Y26282, Y27737, Y27741, Y27742, Y27743, Y27745, Y27747, Y27754, Y27761, Y27763, Y27766, Y27781, Y27783. Y27786, Y27789, Y27791, Y27794, Y27800, Y27803, Y27810, Y27813, Y27814, Y27817, Y27819, Y27820, Y27825, Y27826, Y141863, Y154896</t>
  </si>
  <si>
    <t>S1a1b1d2b1~</t>
  </si>
  <si>
    <t>Z33754, Z33755</t>
  </si>
  <si>
    <t>S1a1b1d2b2~</t>
  </si>
  <si>
    <t>A17763.2, BY150102, BY165446, BY205691.2/Y164536.2, F16114, F16490, F18697, F23927, F26047, F26612, F61431, FGC53610, FT60487, FT60491, FT60492, FT60494, FT60496, FT61039, FT61062, FT61065, FT61068, FT61069, FT61071, FT61104, FT61122^^, FT61125, FT61126, FT61140, FT61143, FT61144, FT61145, FT61158, FT61161, FT61165, FT61167, FT61180, FT61193, FT61200, FT61213, FT61243, FT61256, FT61270^^, FT61277, FT61297^^, FT61298^^, FT61308, FT61356, FT61363, FT61381, FT61388, FT61406, FT61411, FT61414, FT61427, FT61431, FT61447^^, FT61453, FT61460, FT61462, FT61465, FT61472, FT61473, FT61491, FT61500,  FT61510, FT61540, FT61573, FT61587, FT61602, FT61615, FT61620, FT61638, FT61650, FT61655, FT61662, FT61667, FT61676, FT61692, FT61709, FT61761, FT61770, FT61808, FT61813, FT61830, FT61831, FT61860, FT61872, FT61889, FT61891, FT61894, FT61903, FT61908^^, FT61934, FT61937, FT61943, FT61944, FT61958, FT61962, FT61969, FT61978, FT61983, FT62023, FT62037^^, FT62059, FT62069, FT62088, FT62089, FT62092, FT62093, FT62114, FT62125, FT62133, FT62139, FT62157, FT62162, FT62181, FT62185, FT62194, FT62198, FT62201, FT62214, FT62215, FT62235, FT62243, FT62259, FT62267^^, FT62269^^, FT62295^^, FT62296^^, FT62323^^, FT62324^^, FT62326^^, M828, MF8413.2, MF11261.2, V3420, Y26163, Y26200, Y146339.2, Z15384.2</t>
  </si>
  <si>
    <t>S1a2</t>
  </si>
  <si>
    <r>
      <rPr>
        <b/>
        <i/>
      </rPr>
      <t xml:space="preserve">Z41767, </t>
    </r>
    <r>
      <rPr>
        <b val="0"/>
        <i/>
      </rPr>
      <t>FGC9126, Z41768, Z41770, Z41772, Z41775, Z41776, Z41777, Z41778, Z41779, Z41781, Z41782, Z41783, Z41784, Z41786, Z41787, Z41789, Z41791, Z41796, Z41797, Z41799, Z41800, Z41802, Z41804, Z41813, Z41814, Z41816, Z41819, Z41823, Z41824, Z41825, Z41827, Z41828, Z41829, Z41830, Z41832, Z41833, Z41835, Z41838, Z41839, Z41840, Z41841, Z41846, Z41849, Z41851, Z41855, Z41856, Z41858, Z41859, Z41860, Z41863, Z41865, Z41866, Z41868, Z41869, Z41875, Z41879, Z41883, Z41884, Z41885, Z41886, Z41887, Z41892, Z41893, Z41896, Z41898, Z41906, Z41910, Z41914, Z41915</t>
    </r>
  </si>
  <si>
    <t>S1a2a</t>
  </si>
  <si>
    <r>
      <rPr>
        <b/>
        <i/>
        <color rgb="FFB45F06"/>
      </rPr>
      <t>P307</t>
    </r>
    <r>
      <rPr>
        <i/>
        <color rgb="FFB45F06"/>
      </rPr>
      <t>, AM00804.2/F13168.2/Z33233.2, BY5891, BY72454, BY86397^^, BY88041, BY89665^^, BY95749^^, CTS595.2, F19978, FT70599^^, FT127604^^, FT163084, FT178878, FT178879, FT179011, FT179024, FT179032, FT179126, FT179147, FT179202, FT179306, FT179307, FT179370, FT179405, FT179420, FT179498, FT179558, FT179666, FT179692, FT179695, FT179790, FT179857, FT179950, FT179955, FT179963, FT180253, FT180265, FT180272, FT180321, FT180337, FT180392, FT180411, FT180468, FT180498, FT180499, FT180546, FT180612, FT180645, FT180718, FT180805, FT180829, FT180904, FT180920, FT180942, FT181141, FT181178, FT181250, FT181277, FT181301, FT181575, FT181606, FT181681, FT181691, FT181697, FT181700, FT181811, FT181813, FT181893, FT181913, FT181940, FT181952, FT182006, FT182120, FT182133, FT182139, FT182179, FT182220, FT182240, FT182289, FT182401, FT182419, FT182437, FT182452, FT182552, FT182579, FT182688, FT182705, FT182757, FT182758, FT182880, FT182903, FT191229, FT191243, FT191270^^, FT191281^^, FT191305^^,  FT191355^^, FT191362^^, FT191388^^, FT191397^^, FT191406^^, FT191407^^, FT191416^^, FT191484^^, FT191509^^, FT191593^^, FT191600^^, FT191644^^, FT191740^^, FT191757^^, FT191806^^, FT191821^^, FT191842^^, FT191862^^, FT191871^^, FT191933^^, FT192001^^, FT192026^^, FT192089^^, FT192142^^, FT192260, FT192493, FT192780, FT192791, FT192819^^, FT192820^^, FT192887, FT192889, FT182892, FT192914, FT192935, FT192969.2/MF136585.2, FT193268, FT193271, FT193333, FT193334, FT193337, FT193625, FT193627, FT193642, FT193658, FT193716, FT193793, FT193844, FT194015, FT194234, FT194455, FT194458, FT194491^^, FT194492^^, FT194508, FT194510, FT194515, FT194534^^, FT194586^^, FT194605^^, FT194611^^, FT230517^^, FT230550^^, FT231342, FT231377, FT231441, FT232041, FT265069^^, FT265072, FT265077^^, FT265078, FT265079^^, FT265080^^, FT265081^^, FT265082^^, FT265083, FT265084, FT265085, FT265095, FT265096, FT265097, FT265098, FT265099, FT265100^^, FT265103^^, FT265104, FT265105^^, M971.2/Z780.2, M12073.2, MF22677,2, P79, SK1871.2, Y103836.2, Y134598.2, Z29519.2</t>
    </r>
  </si>
  <si>
    <t>S1a2b~</t>
  </si>
  <si>
    <t>FGC36892, P315/Z41769, PLE10.2, PR495.2/Y11835.2, YP4064, Z41763, Z41764, Z41765, Z41768, Z41771, Z41773, Z41774, Z41780, Z41785, Z41788, Z41790, Z41792, Z41793, Z41794, Z41795, Z41798, Z41801, Z41803, Z41805, Z41806, Z41807, Z41808, Z41809, Z41810, Z41811, Z41812, Z41815, Z41817, Z41818, Z41820, Z41821, Z41822, Z41826, Z41831, Z41834, Z41836, Z41837, Z41842, Z41843, Z41844, Z41845, Z41847, Z41848, Z41850, Z41852. Z41853, Z41854, Z41857, Z41861, Z41862, Z41864, Z41867, Z41870, Z41871, Z41872, Z41873, Z41874, Z41876, Z41877, Z41878, Z41880, Z41881, Z41882, Z41888, Z41889, Z41890, Z41891, Z41894, Z41895, Z41897, Z41899, Z41900, Z41901, Z41902, Z41903, Z41904, Z41905, Z41907, Z41908, Z41909, Z41911, Z41912, Z41913</t>
  </si>
  <si>
    <t>S1a2b1~</t>
  </si>
  <si>
    <t>Z41916, Z41917, Z41918, Z41919, Z41920</t>
  </si>
  <si>
    <t>S1a2b2~</t>
  </si>
  <si>
    <t>Z41921, Z41922, Z41923, Z41924, Z41925</t>
  </si>
  <si>
    <t>S1a2c~</t>
  </si>
  <si>
    <t>P401</t>
  </si>
  <si>
    <t>S1b~</t>
  </si>
  <si>
    <t>B275, Z33756, Z33757, Z33758, Z33759</t>
  </si>
  <si>
    <t>S1c~</t>
  </si>
  <si>
    <t>Z41926, Z41927, Z41928, Z41929, Z41930</t>
  </si>
  <si>
    <t>S1d</t>
  </si>
  <si>
    <r>
      <rPr>
        <b/>
        <i/>
      </rPr>
      <t>SK1806</t>
    </r>
    <r>
      <rPr>
        <i/>
      </rPr>
      <t>, FGC5054, FGC22541.2, FGC43097.2, S777, SK1807, SK1809, SK1810, SK1812, SK1813, SK1814, SK1816, SK1819/Z42153, SK1820/Z42020, SK1821, SK1822, SK1824,  Z41931, Z41932, Z41933, Z41934, Z41935, Z41936, Z41937, Z41938, Z41939, Z41940, Z41941, Z41942, Z41943, Z41944, Z41945, Z41946, Z41947, Z41948, Z41949, Z41950, Z41951, Z41952, Z41953, Z41954, Z41955, Z41956, Z41957, Z41958, Z41959, Z41960, Z41961, Z41962, Z41963, Z41964, Z41965, Z41966, Z41967, Z41968, Z41969, Z41970, Z41971, Z41972, Z41973, Z41974, Z41975, Z41976, Z41977, Z41978, Z41979, Z41980, Z41981, Z41982, Z41983, Z41984, Z41985, Z41986, Z41987, Z41988, Z41989, Z41990, Z41991, Z41992, Z41993, Z41994, Z41995, Z41996, Z41997, Z41998, Z41999, Z42000, Z42001, Z42002, Z42003, Z42004, Z42005, Z42006, Z42007, Z42008, Z42009, Z42010, Z42011, Z42012, Z42013, Z42014, Z42015, Z42016, Z42017, Z42018, Z42019, Z42021, Z42022, Z42023, Z42024, Z42025, Z42026, Z42027, Z42028, Z42029, Z42030, Z42031, Z42032, Z42033, Z42034, Z42035, Z42036, Z42037, Z42038, Z42039. Z42040, Z42041, Z42042, Z42043, Z42044, Z42045, Z42046, Z42047, Z42048, Z42049, Z42050, Z42051, Z42052, Z42053, Z42054, Z42055, Z42056, Z42057, Z42058, Z42059, Z42060, Z42061, Z42062, Z42063, Z42064, Z42065, Z42066, Z42067, Z42068, Z42069, Z42070, Z42071, Z42072, Z42073, Z42074, Z42075, Z42076, Z42077, Z42078, Z42079, Z42080, Z42146, Z42147, Z42148, Z42149, Z42150, Z42151, Z42152, Z42154, Z42155, Z42156, Z42157, Z42158, Z42159, Z42160, Z42161, Z42162, Z42163, Z42164, Z42165, Z42166, Z42167, Z42168, Z42169, Z42170, Z42171, Z42172, Z42173, Z42174, Z42175, Z42176, Z42177, Z42178, Z42179, Z42180, Z42181, Z42182, Z42183, Z42184, Z42185, Z42186, Z42187, Z42188, Z42189, Z42190, Z42191, Z42192, Z42193, Z42194, Z42195, Z42196, Z42197, Z42198, Z42199, Z42200, Z42201, Z42202, Z42203, Z42204, Z42205, Z42206, Z42207, Z42208, Z42209, Z42210, Z42211, Z42212, Z42213, Z42214, Z42215, Z42216, Z42217, Z42218, Z42219, Z42220, Z42221, Z42222, Z42223, Z42224, Z42225, Z42226, Z42227, Z42228</t>
    </r>
  </si>
  <si>
    <t>S1d~</t>
  </si>
  <si>
    <t>SK1827</t>
  </si>
  <si>
    <t>S1d1</t>
  </si>
  <si>
    <r>
      <rPr>
        <b/>
        <i/>
        <color rgb="FFB45F06"/>
      </rPr>
      <t>FT61802,</t>
    </r>
    <r>
      <rPr>
        <i/>
        <color rgb="FFB45F06"/>
      </rPr>
      <t xml:space="preserve"> BY180305, FGC63889, FT60712^^, FT61895, FT72901^^, FT189905</t>
    </r>
  </si>
  <si>
    <t>S2</t>
  </si>
  <si>
    <r>
      <rPr>
        <b/>
        <i/>
      </rPr>
      <t>P378^^</t>
    </r>
    <r>
      <rPr>
        <i/>
      </rPr>
      <t>, A14785.1/Z33601.1, B273.2/JN32.2/Y15622.2, Z33356, Z33357, Z33358, Z33359, Z33360, Z33361, Z33362, Z33363, Z33364, Z33365, Z33366, Z33367, Z33368, Z33369, Z33370, Z33371, Z33372, Z33373, Z33374, Z33375, Z33376, Z33377, Z33378, Z33379, Z33380, Z33381, Z33382, Z33383, Z33384, Z33385, Z33386, Z33388, Z33389, Z33390, Z33391, Z33392, Z33393, Z33394, Z33395, Z33396, Z33397, Z33398, Z33399, Z33400, Z33401, Z33402, Z33403, Z33404, Z33405, Z33406, Z33407, Z33408, Z33409, Z33410, Z33411, Z33412, Z33413, Z33414, Z33415, Z33416, Z33417, Z33418, Z33419, Z33420, Z33421, Z33422, Z33423, Z33424, Z33425, Z33426, Z33427, Z33428, Z33429, Z33430, Z33431, Z33432, Z33433, Z33434, Z33435, Z33436, Z33437, Z33438, Z33439, Z33440, Z33442, Z33444, Z33446, Z33447, Z33448, Z33453, Z33457, Z33458, Z33460, Z33461, Z33462, Z33463, Z33464, Z33465, Z33466, Z33467, Z33468, Z33469, Z33470, Z33473, Z33475, Z33477, Z33478, Z33479, Z33480, Z33481, Z33482, Z33483, Z33484, Z33485, Z33486, Z33487, Z33488, Z33489, Z33490, Z33491, Z33492, Z33493, Z33494, Z33495, Z33496, Z33497, Z33498, Z33499, Z33500, Z33501, Z33502, Z33503, Z33504, Z33505, Z33506, Z33507, Z33508, Z33509, Z33510, Z33511, Z33512, Z33513, Z33514, Z33515, Z33516, Z33518, Z33519, Z33520, Z33521, Z33523, Z33524, Z33525, Z33526, Z33527, Z33528, Z33529, Z33531, Z33532, Z33533, Z33534, Z33535, Z33536, Z33537, Z33538, Z33539, Z33540, Z33541, Z33542, Z33543, Z33544, Z33545, Z33546, Z33547, Z33548, Z33549, Z33550, Z33551, Z33552, Z33553, Z33554, Z33555, Z33556, Z33557, Z33558, Z33559, Z33560, Z33561, Z33562, Z33564, Z33565, Z33566, Z33567, Z33568, Z33569, Z33570, Z33571, Z33572, Z33573, Z33574, Z33575, Z33576, Z33577, Z33578, Z33579, Z33580, Z33581, Z33583, Z33584, Z33585, Z33586, Z33587, Z33588, Z33589, Z33590, Z33591, Z33592, Z33593, Z33594, Z33597, Z33598, Z33599, Z33602, Z33603, Z33604, Z33605, Z33606, Z33607, Z33608, Z33609, Z33610, Z33611, Z33612, Z33613, Z33614, Z33615, Z33616, Z33617, Z33618, Z33619, Z33620, Z33621, Z33622, Z33624, Z33626, Z33627, Z33628, Z33629, Z33630, Z33631, Z33632, Z33633, Z33634, Z33636, Z33637, Z33638, Z33639, Z33640, Z33641, Z33642, Z33643, Z33644, Z33645, Z33646, Z33648, Z33649, Z33650, Z33651, Z33652, Z33653, Z33654, Z33655, Z33656, Z33658, Z33659, Z33660, Z33662, Z33663, Z33664, Z33665, Z33666, Z33667, Z33668, Z33669, Z33670, Z33671, Z33672, Z33673, Z33674, Z33675, Z33676, Z33677, Z33678, Z33679, Z33680, Z33681, Z33682, Z33683, Z33684, Z33685, Z33686, Z33687, Z33688, Z33689, Z33690, Z33691, Z33692, Z33693, Z33694, Z33696, Z33697, Z33698, Z33700, Z33701, Z33702, Z33703, Z33704, Z33705, Z33706, Z33707, Z33708, Z33709, Z33710, Z33711, Z33712, Z33713, Z33714, Z33715, Z33716, Z33717, Z33719, Z33721, Z33722, Z33723, Z33724, Z33725, Z33726, Z33727, Z33728, Z33729, Z33737, Z33739</t>
    </r>
  </si>
  <si>
    <t>S2a~</t>
  </si>
  <si>
    <t>B276, Z33744, Z33746, Z33747</t>
  </si>
  <si>
    <t>S2b~</t>
  </si>
  <si>
    <t>Z33748, Z33750, Z33751, Z41332, Z41333</t>
  </si>
  <si>
    <t>S3~</t>
  </si>
  <si>
    <t>P336</t>
  </si>
  <si>
    <t>S4~</t>
  </si>
  <si>
    <t>BY20008, BY20016, BY20017, BY54227, BY61045, BY62222, BY63975, BY67609, BY68821, BY69867, BY70643, BY74082, BY75553, BY76442, BY76842^^, BY77241^^, BY78473^^, BY78698^^, BY86474^^, BY86719^^, BY87491, BY87517, BY87981, BY88543^^, BY88811^^, BY89543^^, BY89590^^, BY90704, BY91764^^, BY92052^^, BY95764, BY104610, BY104975, BY105513^^, BY106099, BY109992, BY111391, BY114463, BY115210, BY118110, BY140989, BY147353^^, BY149111, BY155959, BY156225, F15782, S17615, S9697.2, Y81259, Y81301, Y81565, Y81941, Y82366, Y82650, Y83094, Y83180, Y83279, Y83489, Y83492, Y83609, Y83763, Y83979, Y84065, Y84167, Y84168, Y84224, Y84368, Y84471, Y84898, Y84958, Y84978, Y85011, Y85033, Y85065, Y85099, Y85418, Y85478, Y85773, Y85888, Y85910, Y86043, Y86056, Y86182, Y86259, Y86463, Y86729, Y86782, Y86898, Y87095, Y87148, Y87156, Y87412, Y87461, Y87607, Y87644, Y87879, Y88188, Y88274, Y88278, Y88365^^, Y88451^^, Y88474, Y88670, Y88779, Y88855, Y88981, Y89419, Y89509, Y89537, Y89834, Y89859^^, Y90243, Y90374, Y90437, Y90699, Y91125, Y91175, Y91234, Y91832^^, Y91929, Y92031, Y92186, Y92288, Y92679, Y92853, Y93072, Y93176, Y93178, Y93325, Y93333, Y93352, Y93383, Y93587, Y93685, Y93922, Y94065, Y94192, Y94318, Y94509, Y94607, Y94668, Y94715, Y94773, Y95099, Y95146, Y95225, Y95384^^, Y95488, Y95740, Y96014, Y96370, Y96372, Y96572, Y96603, Y96739, Y96985, Y97044, Y97045, Y97046, Y97263, Y97565, Y97704, Y97782, Y97831, Y98126, Y98138, Y98166, Y98338, Y98681, Y98813, Y98892, Y98899, Y99043, Y99185, Y99313, Y99387, Y99509, Y99676, Y99728, Y99908, Y100035, Y100113, Y100157, Y100213, Y100368, Y100451, Y100455, Y100469^^, Y100482, Y100619, Y100646, Y100695, Y100702, Y100758, Y100861, Y101104, Y101126, Y101131, Y101455, Y101470, Y101714, Y101835, Y101997, Y102171, Y102270, Y102298, Y102337, Y102388, Y102496, Y102532, Y102572, Y102869, Y103066, Y103258, Y103505, Y103593, Y103749, Y104127, Y104137, Y104682, Y104683, Y104959, Y104997, Y105368, Y105375, Y105383, Y105513, Y105628, Y105738, Y106085, Y106165, Y106168, Y106310, Y106608, Y106650, Y107210, Y107217, Y107268, Y107411, Y107521, Y107568, Y107938, Y107944, Y107946, Y108151, Y108206, Y108526, Y108597, Y108902, Y108906, Y108921, Y109148, Y109222, Y109329, Y109723, Y109774, Y110032, Y110295, Y110686, Y110806, Y111208, Y111239, Y111735, Y111736, Y111796, Y111902, Y111903, Y112031, Y112259^^, Y112309^^, Y112325^^, Z36058.2, Z39050.2</t>
  </si>
  <si>
    <t>MUTATION INFORMATION AT VERY BOTTOM HERE</t>
  </si>
  <si>
    <t>NOTES:</t>
  </si>
  <si>
    <t>Haplogroup S was formerly called K5 and was first called S in the Karafet et al (2008) paper.</t>
  </si>
  <si>
    <r>
      <rPr>
        <rFont val="Times New Roman"/>
        <b/>
        <color rgb="FF000000"/>
        <sz val="12.0"/>
      </rPr>
      <t xml:space="preserve">Y-DNA haplogroup S </t>
    </r>
    <r>
      <rPr>
        <rFont val="Times New Roman"/>
        <b val="0"/>
        <color rgb="FF000000"/>
        <sz val="12.0"/>
      </rPr>
      <t>is a major haplogroup in the highlands of mainland Papua New Guinea where it is found at frequencies of around 50% in some populations and is also present at lower frequencies in adjacent islands of Indonesia and Melanesia and even in the Philippines.</t>
    </r>
  </si>
  <si>
    <r>
      <rPr>
        <rFont val="Times New Roman"/>
        <b/>
        <color rgb="FF000000"/>
        <sz val="12.0"/>
      </rPr>
      <t xml:space="preserve">Geographical Distribution </t>
    </r>
    <r>
      <rPr>
        <rFont val="Times New Roman"/>
        <b val="0"/>
        <color rgb="FF000000"/>
        <sz val="12.0"/>
      </rPr>
      <t>of ancestry of men in Haplogroup S (not complete):</t>
    </r>
  </si>
  <si>
    <t>S1a1</t>
  </si>
  <si>
    <t>Z42413           Indonesia</t>
  </si>
  <si>
    <t>S1a1a1        P60           Australia (Aborigines)</t>
  </si>
  <si>
    <t>P60                 Australia (Aborigines)</t>
  </si>
  <si>
    <t>S1a1b1d1a  M226.1     Papua New Guines, Admiralty Islands</t>
  </si>
  <si>
    <t>M226.1           Papua New Guinea, Admiralty Islands</t>
  </si>
  <si>
    <t>P307               Melanesia, Papua New Guinea including Admiralty Islands</t>
  </si>
  <si>
    <t>S1a3</t>
  </si>
  <si>
    <t>FGC36892     Australia (Aborigines)</t>
  </si>
  <si>
    <t xml:space="preserve">S1a2c    </t>
  </si>
  <si>
    <t xml:space="preserve">S1b              </t>
  </si>
  <si>
    <t>B275              Philippines (Bajos)</t>
  </si>
  <si>
    <t>SK1806          Papua New Guinea, Indonesia, Vanuatu</t>
  </si>
  <si>
    <t>B273              Philippines (Aeta)</t>
  </si>
  <si>
    <t xml:space="preserve">S3                    </t>
  </si>
  <si>
    <t>P336              Indonesia</t>
  </si>
  <si>
    <t xml:space="preserve">S4                </t>
  </si>
  <si>
    <t>BY22870       Philippines</t>
  </si>
  <si>
    <t xml:space="preserve"> </t>
  </si>
  <si>
    <t>References:</t>
  </si>
  <si>
    <t>Bergstrom et al, Deep Roots for Aboriginal Australian Y Chromosomes. (pdf) Current Biology, 26:809-813, (2016).</t>
  </si>
  <si>
    <t>Karmin et al, A Recent Bottleneck of Y chromosome Diversity Coincides with a Global Change in Culture. Genome Research, doi: 10.1101/gr.186684.114, published online March 13, 2015.</t>
  </si>
  <si>
    <t>Kayser et al, Independent Histories of Human Y Chromosomes from Melanesia and Australia. American Journal of Human Genetics, 68:173-190, 2001.</t>
  </si>
  <si>
    <t>Kayser et al, Melanesian and Asian Origins of Polynesians: mtDNA and Y-Chromosome Gradients across the Pacific. MBE Advance Access published August 21, 2006.</t>
  </si>
  <si>
    <t>Kayser et al. Reduced Y-Chromosome, but Not Mitochondrial DNA, Diversity in Human Populations from West New Guinea. American Journal of Human Genetics, 72:281-302, 2003.</t>
  </si>
  <si>
    <t>Mona et al, Patterns of Y-chromosome Diversity Intersect with the Trans-New Guinea Hypothesis. Mol Biol Evol. 2007 Sep 10; [Epub ahead of print]</t>
  </si>
  <si>
    <t>Scheinfeldt et al, Unexpected NRY Chromosome Variation in Northern Island Melanesia. Society for Molecular Biology, 2006.</t>
  </si>
  <si>
    <t>Additional Resources:</t>
  </si>
  <si>
    <t>ISOGG Wiki - What you need to know about Genetic Genealogy.</t>
  </si>
  <si>
    <t>Corrections/Additions made since 1 January 2019:</t>
  </si>
  <si>
    <t xml:space="preserve">Added Y26165^^ to tree investigation; added FGC9054, FT26453^^, Y26284^^, Y26224/Z41455, Y26278^^, Y26170/Z41405, Y26173/Z41406, </t>
  </si>
  <si>
    <t>Y27756/Z41407, Z41408, Y27757/Z41409, FT61347^^ to tree on 23 June 2019.</t>
  </si>
  <si>
    <t xml:space="preserve">Added F18342, F19241, F22808, FT61350^^, FT62021, PH4133, S19576, SK1890, SK1897, SK1900, Y26126, Y26127, Y26137, Y26144, </t>
  </si>
  <si>
    <t xml:space="preserve">Y26154, Y26155, Y26158^^, Y26162, Y26164^^, Y26171, Y26174^^, Y26175, Y26176^^, Y26178, Y26180, Y26182, Y26184, Y26185, </t>
  </si>
  <si>
    <t xml:space="preserve">Y26186, Y26187, Y26188, Y26191, Y26192, Y26193, Y26195, Y26202, Y26213, Y26222, Y26223, Y26225, Y26226, Y26227, Y26229, </t>
  </si>
  <si>
    <t xml:space="preserve">Y26231, Y26234, Y26237, Y26238, Y26245, Y26247, Y26252, Y26259, Y26267, Y26270, Y26281^^, Y26282, Y27737, Y27741, Y27742, </t>
  </si>
  <si>
    <t xml:space="preserve">Y27743, Y27745, Y27747, Y27754, Y27761, Y27763, Y27766, Y27781, Y27783. Y27786, Y27789, Y27791, Y27794, Y27800, Y27803, </t>
  </si>
  <si>
    <t xml:space="preserve">Y27810, Y27813, Y27814, Y27817, Y27819, Y27820, Y27825, Y27826, Y141863, Y154896, A17763.2, BY165446, </t>
  </si>
  <si>
    <t xml:space="preserve">BY205691.2/Y164536.2, F16114, F16490, F18697, F23927, F61431, FGC53610, FT60487, FT60491, FT60492, FT60494, FT60496, </t>
  </si>
  <si>
    <t xml:space="preserve">FT61039, FT61062, FT61065, FT61068, FT61069, FT61071, FT61104, FT61122^^, FT61125, FT61126, FT61140, FT61143, FT61144, </t>
  </si>
  <si>
    <t xml:space="preserve">FT61447^^, FT61453, FT61460, FT61462, FT61465, FT61472, FT61473, FT61491, FT61500, FT61510, FT61540, FT61573, FT61587, </t>
  </si>
  <si>
    <t xml:space="preserve">FT61602, FT61615, FT61620, FT61638, FT61650, FT61655, FT61662, FT61667, FT61676, FT61692, FT61709, FT61761, FT61770, </t>
  </si>
  <si>
    <t xml:space="preserve">FT61808, FT61813, FT61830, FT61831, FT61860, FT61872, FT61889, FT61891, FT61894, FT61903, FT61908^^, FT61934, FT61937, </t>
  </si>
  <si>
    <t xml:space="preserve">FT61943, FT61944, FT61958, FT61962, FT61969, FT61978, FT61983, FT62023, FT62037^^, FT62059, FT62069, FT62088, FT62089, </t>
  </si>
  <si>
    <t>FT62092, FT62093, FT62114, FT62125, FT62133, FT62139, FT62157, M828, MF11261.2, V3420, Y26163, Y26200, Y146339.2, Z15384.2</t>
  </si>
  <si>
    <t>to tree investigation on 24 June 2019.</t>
  </si>
  <si>
    <t xml:space="preserve">Added BY20008, BY20016, BY20017, BY54227, BY61045, BY62222, BY63975, BY67609, BY68821, BY69867, BY70643, BY74082, BY75553, </t>
  </si>
  <si>
    <t xml:space="preserve">BY76442, BY76842^^, BY77241^^, BY78473^^, BY78698^^, BY86474^^, BY86719^^, BY87491, BY87517, BY87981, BY88543^^, BY88811^^, </t>
  </si>
  <si>
    <t>BY89543^^, BY89590^^, BY90704, BY91764^^, BY92052^^, BY95764, BY104610, BY104975, BY105513^^, BY106099, BY109992, BY111391,</t>
  </si>
  <si>
    <t xml:space="preserve">BY114463, BY115210, BY118110, BY140989, BY147353^^, BY149111, BY155959, BY156225, F15782, S17615, S9697.2, Y81259, Y81301, </t>
  </si>
  <si>
    <t xml:space="preserve">Y81565, Y81941, Y82366, Y82650, Y83094, Y83180, Y83279, Y83489, Y83492, Y83609, Y83763, Y83979, Y84065, Y84167, Y84168, Y84224, </t>
  </si>
  <si>
    <t xml:space="preserve">Y84368, Y84471, Y84898, Y84958, Y84978, Y85011, Y85033, Y85065, Y85099, Y85418, Y85478, Y85773, Y85888, Y85910, Y86043, Y86056, </t>
  </si>
  <si>
    <t xml:space="preserve">Y86182, Y86259, Y86463, Y86729, Y86782, Y86898, Y87095, Y87148, Y87156, Y87412, Y87461, Y87607, Y87644, Y87879, Y88188, Y88274, </t>
  </si>
  <si>
    <t xml:space="preserve">Y88278, Y88365^^, Y88451^^, Y88474, Y88670, Y88779, Y88855, Y88981, Y89419, Y89509, Y89537, Y89834, Y89859^^, Y90243, Y90374, </t>
  </si>
  <si>
    <t xml:space="preserve">Y90437, Y90699, Y91125, Y91175, Y91234, Y91832^^, Y91929, Y92031, Y92186, Y92288, Y92679, Y92853, Y93072, Y93176, Y93178, Y93325, </t>
  </si>
  <si>
    <t xml:space="preserve">Y93333, Y93352, Y93383, Y93587, Y93685, Y93922, Y94065, Y94192, Y94318, Y94509, Y94607, Y94668, Y94715, Y94773, Y95099, Y95146, </t>
  </si>
  <si>
    <t xml:space="preserve">Y95225, Y95384^^, Y95488, Y95740, Y96014, Y96370, Y96372, Y96572, Y96603, Y96739, Y96985, Y97044, Y97045, Y97046, Y97263, </t>
  </si>
  <si>
    <t xml:space="preserve">Y97565, Y97704, Y97782, Y97831, Y98126, Y98138, Y98166, Y98338, Y98681, Y98813, Y98892, Y98899, Y99043, Y99185, Y99313, Y99387, </t>
  </si>
  <si>
    <t xml:space="preserve">Y99509, Y99676, Y99728, Y99908, Y100035, Y100113, Y100157, Y100213, Y100368, Y100451, Y100455, Y100469^^, Y100482, Y100619, </t>
  </si>
  <si>
    <t xml:space="preserve">Y100646, Y100695, Y100702, Y100758, Y100861, Y101104, Y101126, Y101131, Y101455, Y101470, Y101714, Y101835, Y101997, Y102171, </t>
  </si>
  <si>
    <t xml:space="preserve">Y102270, Y102298, Y102337, Y102388, Y102496, Y102532, Y102572, Y102869, Y103066, Y103258, Y103505, Y103593, Y103749, Y104127, </t>
  </si>
  <si>
    <t>Y104137, Y104682, Y104683, Y104959, Y104997, Y105368, Y105375, Y105383, Y105513, Y105628, Y105738, Y106085, Y106165, Y106168,</t>
  </si>
  <si>
    <t xml:space="preserve">Y106310, Y106608, Y106650, Y107210, Y107217, Y107268, Y107411, Y107521, Y107568, Y107938, Y107944, Y107946, Y108151, Y108206, </t>
  </si>
  <si>
    <t xml:space="preserve">Y108526, Y108597, Y108902, Y108906, Y108921, Y109148, Y109222, Y109329, Y109723, Y109774, Y110032, Y110295, Y110686, Y110806, </t>
  </si>
  <si>
    <t>Y111208, Y111239, Y111735, Y111736, Y111796, Y111902, Y111903, Y112031, Y112259^^, Y112309^^, Y112325^^, Z36058.2, Z39050.2</t>
  </si>
  <si>
    <t>to tree investigation on 26 June 2019.</t>
  </si>
  <si>
    <t>Added CTS595.2, M971.2/Z780.2 to tree investigation on 7 February 2020.</t>
  </si>
  <si>
    <t xml:space="preserve">Added AM00804.2/F13168.2/Z33233.2, BY5891, BY72454, BY86397^^, BY88041, BY89665^^, BY95749^^, F19978, FT70599^^, FT127604^^, FT163084, </t>
  </si>
  <si>
    <t>FT178878, FT178879, FT179011, FT179024, FT179032, FT179126, FT179147, FT179202, FT179306, FT179307, FT179370, FT179405, FT179420,</t>
  </si>
  <si>
    <t xml:space="preserve">FT179498, FT179558, FT179666, FT179692, FT179695, FT179790, FT179857, FT179950, FT179955, FT179963, FT180253, FT180265, FT180272, </t>
  </si>
  <si>
    <t xml:space="preserve">FT180321, FT180337, FT180392, FT180411, FT180468, FT180498, FT180499, FT180546, FT180612, FT180645, FT180718, FT180805, FT180829, </t>
  </si>
  <si>
    <t>FT180904, FT180920, FT180942, FT181141, FT181178, FT181250, FT181277, FT181301, FT181575, FT181606, FT181681, FT181691, FT181697,</t>
  </si>
  <si>
    <t>FT181700, FT181811, FT181813, FT181893, FT181913, FT181940, FT181952, FT182006, FT182120, FT182133, FT182139, FT182179, FT182220,</t>
  </si>
  <si>
    <t xml:space="preserve">FT182240, FT182289, FT182401, FT182419, FT182437, FT182452, FT182552, FT182579, FT182688, FT182705, FT182757, FT182758, FT182880, </t>
  </si>
  <si>
    <t xml:space="preserve">FT182903, FT191229, FT191243, FT191270^^, FT191281^^, FT191305^^, FT191355^^, FT191362^^, FT191388^^, FT191397^^, FT191406^^, </t>
  </si>
  <si>
    <t xml:space="preserve">FT191407^^, FT191416^^, FT191484^^, FT191509^^, FT191593^^, FT191600^^, FT191644^^, FT191740^^, FT191757^^, FT191806^^, FT191821^^, </t>
  </si>
  <si>
    <t xml:space="preserve">FT191842^^, FT191862^^, FT191871^^, FT191933^^, FT192001^^, FT192026^^, FT192089^^, FT192142^^, FT192260, FT192493, FT192780, </t>
  </si>
  <si>
    <t xml:space="preserve">FT192791, FT192819^^, FT192820^^, FT192887, FT192889, FT182892, FT192914, FT192935, FT192969.2/MF136585.2, FT193268, FT193271, </t>
  </si>
  <si>
    <t xml:space="preserve">FT193333, FT193334, FT193337, FT193625, FT193627, FT193642, FT193658, FT193716, FT193793, FT193844, FT194015, FT194234, FT194455, </t>
  </si>
  <si>
    <t xml:space="preserve">FT194458, FT194491^^, FT194492^^, FT194508, FT194510, FT194515, FT194534^^, FT194586^^, FT194605^^, FT194611^^, FT230517^^, </t>
  </si>
  <si>
    <t xml:space="preserve">FT230550^^, FT231342, FT231377, FT231441, FT232041, FT265069^^, FT265072, FT265077^^, FT265078, FT265079^^, FT265080^^, FT265081^^, </t>
  </si>
  <si>
    <t xml:space="preserve">FT265082^^, FT265083, FT265084, FT265085, FT265095, FT265096, FT265097, FT265098, FT265099, FT265100^^, FT265103^^, FT265104, </t>
  </si>
  <si>
    <t>FT265105^^, M12073.2, M971.2/Z780.2, MF22677,2, SK1871.2, Y103836.2, Y134598.2, Z29519.2 to tree on 12 April 2020.</t>
  </si>
  <si>
    <t>Added FT61802, BY180305, FGC63889, FT60712^^, FT61895, FT72901^^, FT189905 to tree on 4 August 2020.</t>
  </si>
  <si>
    <t>Typographical errors were corrected on 14 Jan 2022 - mostly elimination of duplicate info</t>
  </si>
  <si>
    <t>Back to Main Page</t>
  </si>
  <si>
    <t>Back to SNP Index</t>
  </si>
  <si>
    <t>Back to Papers/Presentations Cited</t>
  </si>
  <si>
    <t>Back to Glossary</t>
  </si>
  <si>
    <t>Copyright 2019, International Society of Genetic Genealogy. All Rights Reserved</t>
  </si>
  <si>
    <t>MUTATION INFORMATION --&gt;&gt;</t>
  </si>
  <si>
    <t>If copying this section just below, choose Paste Special, then Values, otherwise the haplogroup contents will not copy</t>
  </si>
  <si>
    <t>Name</t>
  </si>
  <si>
    <t>Haplogroup</t>
  </si>
  <si>
    <t>Other Names</t>
  </si>
  <si>
    <t>rs #</t>
  </si>
  <si>
    <t>Build 37 #</t>
  </si>
  <si>
    <t>Build 38 #</t>
  </si>
  <si>
    <t>Mutation info</t>
  </si>
  <si>
    <t>B254</t>
  </si>
  <si>
    <t>rs372295336</t>
  </si>
  <si>
    <t>C-&gt;A</t>
  </si>
  <si>
    <t>Z33355</t>
  </si>
  <si>
    <t>rs369005409</t>
  </si>
  <si>
    <t>A-&gt;G</t>
  </si>
  <si>
    <t>rs370472771</t>
  </si>
  <si>
    <t>C-&gt;T</t>
  </si>
  <si>
    <t>Z41335</t>
  </si>
  <si>
    <t>rs373411604</t>
  </si>
  <si>
    <t>A-&gt;C</t>
  </si>
  <si>
    <t>Z41336</t>
  </si>
  <si>
    <t>rs377052367</t>
  </si>
  <si>
    <t>Z41337</t>
  </si>
  <si>
    <t>rs372273818</t>
  </si>
  <si>
    <t>G-&gt;C</t>
  </si>
  <si>
    <t>Z41338</t>
  </si>
  <si>
    <t>rs367787386</t>
  </si>
  <si>
    <t>G-&gt;A</t>
  </si>
  <si>
    <t>Z41339</t>
  </si>
  <si>
    <t>rs370756633</t>
  </si>
  <si>
    <t>T-&gt;G</t>
  </si>
  <si>
    <t>Z41340</t>
  </si>
  <si>
    <t>rs375309677</t>
  </si>
  <si>
    <t>Z41341</t>
  </si>
  <si>
    <t>rs368228091</t>
  </si>
  <si>
    <t>P405</t>
  </si>
  <si>
    <t>rs566569730</t>
  </si>
  <si>
    <t>G-&gt;T</t>
  </si>
  <si>
    <t>Y26165^^</t>
  </si>
  <si>
    <t>rs368587345</t>
  </si>
  <si>
    <t>Z42413</t>
  </si>
  <si>
    <t>rs370759530</t>
  </si>
  <si>
    <t>Z42414</t>
  </si>
  <si>
    <t>rs368716506</t>
  </si>
  <si>
    <t>Z42415</t>
  </si>
  <si>
    <t>rs371941758</t>
  </si>
  <si>
    <t>Z42416</t>
  </si>
  <si>
    <t>rs372737012</t>
  </si>
  <si>
    <t>Z42417</t>
  </si>
  <si>
    <t>rs371830685</t>
  </si>
  <si>
    <t>C-&gt;G</t>
  </si>
  <si>
    <t>Z42418</t>
  </si>
  <si>
    <t>rs368306284</t>
  </si>
  <si>
    <t>Z42419</t>
  </si>
  <si>
    <t>rs367739926</t>
  </si>
  <si>
    <t>Z42420</t>
  </si>
  <si>
    <t>rs369593454</t>
  </si>
  <si>
    <t>Z41513</t>
  </si>
  <si>
    <t>AM00651.2</t>
  </si>
  <si>
    <t>Z33118.2</t>
  </si>
  <si>
    <t>rs368850080</t>
  </si>
  <si>
    <t>Z33188.2</t>
  </si>
  <si>
    <t>FGC17153.2</t>
  </si>
  <si>
    <t>V3938.2; Z18210.2</t>
  </si>
  <si>
    <t>rs865831208</t>
  </si>
  <si>
    <t>V3938.2</t>
  </si>
  <si>
    <t>FGC17153.2; Z18210.2</t>
  </si>
  <si>
    <t>Z18210.2</t>
  </si>
  <si>
    <t>FGC17153.2; V3938.2</t>
  </si>
  <si>
    <t>FGC38729</t>
  </si>
  <si>
    <t>M10072</t>
  </si>
  <si>
    <t>rs566812523</t>
  </si>
  <si>
    <t>Z41514</t>
  </si>
  <si>
    <t>Z41515</t>
  </si>
  <si>
    <t>Z41516</t>
  </si>
  <si>
    <t>Z41517</t>
  </si>
  <si>
    <t>Z41518</t>
  </si>
  <si>
    <t>Z41519</t>
  </si>
  <si>
    <t>A-&gt;T</t>
  </si>
  <si>
    <t>Z41520</t>
  </si>
  <si>
    <t>T-&gt;A</t>
  </si>
  <si>
    <t>Z41521</t>
  </si>
  <si>
    <t>Z41522</t>
  </si>
  <si>
    <t>Z41523</t>
  </si>
  <si>
    <t>Z41524</t>
  </si>
  <si>
    <t>Z41525</t>
  </si>
  <si>
    <t>Z41526</t>
  </si>
  <si>
    <t>Z41527</t>
  </si>
  <si>
    <t>Z41528</t>
  </si>
  <si>
    <t>Z41529</t>
  </si>
  <si>
    <t>Z41530</t>
  </si>
  <si>
    <t>Z41531</t>
  </si>
  <si>
    <t>Z41532</t>
  </si>
  <si>
    <t>Z41533</t>
  </si>
  <si>
    <t>Z41534</t>
  </si>
  <si>
    <t>Z41535</t>
  </si>
  <si>
    <t>Z41536</t>
  </si>
  <si>
    <t>T-&gt;C</t>
  </si>
  <si>
    <t>Z41537</t>
  </si>
  <si>
    <t>Z41538</t>
  </si>
  <si>
    <t>rs1037514633</t>
  </si>
  <si>
    <t>Z41539</t>
  </si>
  <si>
    <t>Z41540</t>
  </si>
  <si>
    <t>Z41541</t>
  </si>
  <si>
    <t>Z41542</t>
  </si>
  <si>
    <t>Z41543</t>
  </si>
  <si>
    <t>Z41544</t>
  </si>
  <si>
    <t>Z41545</t>
  </si>
  <si>
    <t>Z41546</t>
  </si>
  <si>
    <t>Z41547</t>
  </si>
  <si>
    <t>Z41548</t>
  </si>
  <si>
    <t>Z41549</t>
  </si>
  <si>
    <t>Z41550</t>
  </si>
  <si>
    <t>Z41551</t>
  </si>
  <si>
    <t>Z41552</t>
  </si>
  <si>
    <t>Z41553</t>
  </si>
  <si>
    <t>Z41554</t>
  </si>
  <si>
    <t>Z41555</t>
  </si>
  <si>
    <t>Z41556</t>
  </si>
  <si>
    <t>Z41557</t>
  </si>
  <si>
    <t>Z41558</t>
  </si>
  <si>
    <t>Z41559</t>
  </si>
  <si>
    <t>Z41560</t>
  </si>
  <si>
    <t>Z41561</t>
  </si>
  <si>
    <t>Z41562</t>
  </si>
  <si>
    <t>Z41563</t>
  </si>
  <si>
    <t>Z41564</t>
  </si>
  <si>
    <t>Z41565</t>
  </si>
  <si>
    <t>Z41566</t>
  </si>
  <si>
    <t>Z41567</t>
  </si>
  <si>
    <t>Z41568</t>
  </si>
  <si>
    <t>Z41569</t>
  </si>
  <si>
    <t>Z41570</t>
  </si>
  <si>
    <t>Z41571</t>
  </si>
  <si>
    <t>Z41572</t>
  </si>
  <si>
    <t>Z41573</t>
  </si>
  <si>
    <t>Z41574</t>
  </si>
  <si>
    <t>Z41575</t>
  </si>
  <si>
    <t>Z41576</t>
  </si>
  <si>
    <t>Z41577</t>
  </si>
  <si>
    <t>Z41578</t>
  </si>
  <si>
    <t>Z41579</t>
  </si>
  <si>
    <t>Z41580</t>
  </si>
  <si>
    <t>Z41581</t>
  </si>
  <si>
    <t>Z41582</t>
  </si>
  <si>
    <t>Z41583</t>
  </si>
  <si>
    <t>Z41584</t>
  </si>
  <si>
    <t>Z41585</t>
  </si>
  <si>
    <t>Z41586</t>
  </si>
  <si>
    <t>Z41587</t>
  </si>
  <si>
    <t>Z41588</t>
  </si>
  <si>
    <t>Z41589</t>
  </si>
  <si>
    <t>Z41590</t>
  </si>
  <si>
    <t>Z41591</t>
  </si>
  <si>
    <t>Z41592</t>
  </si>
  <si>
    <t>Z41593</t>
  </si>
  <si>
    <t>Z41594</t>
  </si>
  <si>
    <t>Z41595</t>
  </si>
  <si>
    <t>Z41596</t>
  </si>
  <si>
    <t>Z41597</t>
  </si>
  <si>
    <t>Z41598</t>
  </si>
  <si>
    <t>Z41599</t>
  </si>
  <si>
    <t>Z41600</t>
  </si>
  <si>
    <t>Z41601</t>
  </si>
  <si>
    <t>Z41602</t>
  </si>
  <si>
    <t>Z41603</t>
  </si>
  <si>
    <t>Z41604</t>
  </si>
  <si>
    <t>Z41605</t>
  </si>
  <si>
    <t>Z41606</t>
  </si>
  <si>
    <t>Z41607</t>
  </si>
  <si>
    <t>Z41608</t>
  </si>
  <si>
    <t>Z41609</t>
  </si>
  <si>
    <t>Z41610</t>
  </si>
  <si>
    <t>Z41611</t>
  </si>
  <si>
    <t>Z41612</t>
  </si>
  <si>
    <t>Z41613</t>
  </si>
  <si>
    <t>Z41614</t>
  </si>
  <si>
    <t>Z41615</t>
  </si>
  <si>
    <t>Z41616</t>
  </si>
  <si>
    <t>Z41617</t>
  </si>
  <si>
    <t>Z41618</t>
  </si>
  <si>
    <t>Z41619</t>
  </si>
  <si>
    <t>Z41620</t>
  </si>
  <si>
    <t>Z41621</t>
  </si>
  <si>
    <t>Z41622</t>
  </si>
  <si>
    <t>Z41623</t>
  </si>
  <si>
    <t>Z41624</t>
  </si>
  <si>
    <t>Z41625</t>
  </si>
  <si>
    <t>Z41626</t>
  </si>
  <si>
    <t>P308</t>
  </si>
  <si>
    <t>Z41663</t>
  </si>
  <si>
    <t>Z41664</t>
  </si>
  <si>
    <t>Z41665</t>
  </si>
  <si>
    <t>Z41666</t>
  </si>
  <si>
    <t>Z41667</t>
  </si>
  <si>
    <t>Z41668</t>
  </si>
  <si>
    <t>Z41669</t>
  </si>
  <si>
    <t>Z41670</t>
  </si>
  <si>
    <t>Z41671</t>
  </si>
  <si>
    <t>Z41672</t>
  </si>
  <si>
    <t>Z41673</t>
  </si>
  <si>
    <t>Z41674</t>
  </si>
  <si>
    <t>Z41675</t>
  </si>
  <si>
    <t>Z41676</t>
  </si>
  <si>
    <t>Z41677</t>
  </si>
  <si>
    <t>Z41678</t>
  </si>
  <si>
    <t>Z41679</t>
  </si>
  <si>
    <t>Z41680</t>
  </si>
  <si>
    <t>Z41681</t>
  </si>
  <si>
    <t>Z41682</t>
  </si>
  <si>
    <t>Z41683</t>
  </si>
  <si>
    <t>Z41684</t>
  </si>
  <si>
    <t>Z41685</t>
  </si>
  <si>
    <t>Z41686</t>
  </si>
  <si>
    <t>Z41687</t>
  </si>
  <si>
    <t>Z41688</t>
  </si>
  <si>
    <t>Z41689</t>
  </si>
  <si>
    <t>Z41690</t>
  </si>
  <si>
    <t>Z41691</t>
  </si>
  <si>
    <t>Z41692</t>
  </si>
  <si>
    <t>Z41693</t>
  </si>
  <si>
    <t>Z41694</t>
  </si>
  <si>
    <t>Z41695</t>
  </si>
  <si>
    <t>Z41696</t>
  </si>
  <si>
    <t>Z41697</t>
  </si>
  <si>
    <t>Z41698</t>
  </si>
  <si>
    <t>Z41699</t>
  </si>
  <si>
    <t>Z41700</t>
  </si>
  <si>
    <t>Z41701</t>
  </si>
  <si>
    <t>rs893285783</t>
  </si>
  <si>
    <t>Z41702</t>
  </si>
  <si>
    <t>Z41703</t>
  </si>
  <si>
    <t>Z41704</t>
  </si>
  <si>
    <t>Z41705</t>
  </si>
  <si>
    <t>Z41706</t>
  </si>
  <si>
    <t>Z41707</t>
  </si>
  <si>
    <t>Z41708</t>
  </si>
  <si>
    <t>Z41709</t>
  </si>
  <si>
    <t>Z41710</t>
  </si>
  <si>
    <t>Z41711</t>
  </si>
  <si>
    <t>Z41712</t>
  </si>
  <si>
    <t>Z41713</t>
  </si>
  <si>
    <t>Z41714</t>
  </si>
  <si>
    <t>Z41715</t>
  </si>
  <si>
    <t>Z41716</t>
  </si>
  <si>
    <t>Z41717</t>
  </si>
  <si>
    <t>Z41718</t>
  </si>
  <si>
    <t>Z41719</t>
  </si>
  <si>
    <t>Z41720</t>
  </si>
  <si>
    <t>Z41721</t>
  </si>
  <si>
    <t>Z41722</t>
  </si>
  <si>
    <t>Z41723</t>
  </si>
  <si>
    <t>Z41724</t>
  </si>
  <si>
    <t>Z41725</t>
  </si>
  <si>
    <t>Z41726</t>
  </si>
  <si>
    <t>Z41727</t>
  </si>
  <si>
    <t>Z41728</t>
  </si>
  <si>
    <t>Z41729</t>
  </si>
  <si>
    <t>Z41730</t>
  </si>
  <si>
    <t>Z41731</t>
  </si>
  <si>
    <t>Z41732</t>
  </si>
  <si>
    <t>Z41733</t>
  </si>
  <si>
    <t>Z41734</t>
  </si>
  <si>
    <t>Z41735</t>
  </si>
  <si>
    <t>Z41736</t>
  </si>
  <si>
    <t>Z41737</t>
  </si>
  <si>
    <t>Z41738</t>
  </si>
  <si>
    <t>Z41739</t>
  </si>
  <si>
    <t>Z41740</t>
  </si>
  <si>
    <t>Z41741</t>
  </si>
  <si>
    <t>Z41742</t>
  </si>
  <si>
    <t>Z41743</t>
  </si>
  <si>
    <t>Z41744</t>
  </si>
  <si>
    <t>Z41745</t>
  </si>
  <si>
    <t>Z41746</t>
  </si>
  <si>
    <t>Z41747</t>
  </si>
  <si>
    <t>rs868142646</t>
  </si>
  <si>
    <t>Z41753</t>
  </si>
  <si>
    <t>Z41754</t>
  </si>
  <si>
    <t>Z41755</t>
  </si>
  <si>
    <t>Z41756</t>
  </si>
  <si>
    <t>Z41757</t>
  </si>
  <si>
    <t>Z41758</t>
  </si>
  <si>
    <t>Z41759</t>
  </si>
  <si>
    <t>Z41760</t>
  </si>
  <si>
    <t>rs1032245698</t>
  </si>
  <si>
    <t>Z41761</t>
  </si>
  <si>
    <t>Z41762</t>
  </si>
  <si>
    <t>M230</t>
  </si>
  <si>
    <t>rs9341277</t>
  </si>
  <si>
    <t>P202</t>
  </si>
  <si>
    <t>rs369616152</t>
  </si>
  <si>
    <t>rs9341297</t>
  </si>
  <si>
    <t>del-&gt;ins 18 bp and 2 bp substitution</t>
  </si>
  <si>
    <t>rs866436796</t>
  </si>
  <si>
    <t>rs867244293</t>
  </si>
  <si>
    <t>rs1215894443</t>
  </si>
  <si>
    <t>SK1891</t>
  </si>
  <si>
    <t>rs375368795</t>
  </si>
  <si>
    <t>BY3295</t>
  </si>
  <si>
    <t>rs369683161</t>
  </si>
  <si>
    <t>SK1892</t>
  </si>
  <si>
    <t>rs372511783</t>
  </si>
  <si>
    <t>FGC9054</t>
  </si>
  <si>
    <t>rs375175818</t>
  </si>
  <si>
    <t>FT26453^^</t>
  </si>
  <si>
    <t>rs371762867</t>
  </si>
  <si>
    <t>FT61347^^</t>
  </si>
  <si>
    <t>rs371081018</t>
  </si>
  <si>
    <t>SK1893</t>
  </si>
  <si>
    <t>rs374337947</t>
  </si>
  <si>
    <t>SK1894</t>
  </si>
  <si>
    <t>rs368854811</t>
  </si>
  <si>
    <t>SK1895</t>
  </si>
  <si>
    <t>rs368018198</t>
  </si>
  <si>
    <t>SK1896</t>
  </si>
  <si>
    <t>rs371001285</t>
  </si>
  <si>
    <t>SK1898</t>
  </si>
  <si>
    <t>rs369714906</t>
  </si>
  <si>
    <t>SK1899</t>
  </si>
  <si>
    <t>rs1015387144</t>
  </si>
  <si>
    <t>SK1901</t>
  </si>
  <si>
    <t>rs373560628</t>
  </si>
  <si>
    <t>Y26170</t>
  </si>
  <si>
    <t>Z41405</t>
  </si>
  <si>
    <t>rs368212025</t>
  </si>
  <si>
    <t>Y26173</t>
  </si>
  <si>
    <t>Z41406</t>
  </si>
  <si>
    <t>rs371966756</t>
  </si>
  <si>
    <t>Y26224</t>
  </si>
  <si>
    <t>Z41455</t>
  </si>
  <si>
    <t>rs367865566</t>
  </si>
  <si>
    <t>Y26278^^</t>
  </si>
  <si>
    <t>rs373333645</t>
  </si>
  <si>
    <t>Y26284^^</t>
  </si>
  <si>
    <t>rs373765675</t>
  </si>
  <si>
    <t>Y27756</t>
  </si>
  <si>
    <t>Z41407</t>
  </si>
  <si>
    <t>Y27757</t>
  </si>
  <si>
    <t>Z41409</t>
  </si>
  <si>
    <t>rs377223163</t>
  </si>
  <si>
    <t>Z33752</t>
  </si>
  <si>
    <t>rs375732118</t>
  </si>
  <si>
    <t>Z33753</t>
  </si>
  <si>
    <t>rs371983970</t>
  </si>
  <si>
    <t>Z41356</t>
  </si>
  <si>
    <t>rs372257484</t>
  </si>
  <si>
    <t>Z41357</t>
  </si>
  <si>
    <t>rs372079354</t>
  </si>
  <si>
    <t>Z41358</t>
  </si>
  <si>
    <t>rs376253447</t>
  </si>
  <si>
    <t>Z41359</t>
  </si>
  <si>
    <t>rs368898380</t>
  </si>
  <si>
    <t>Z41360</t>
  </si>
  <si>
    <t>rs370676577</t>
  </si>
  <si>
    <t>Z41361</t>
  </si>
  <si>
    <t>rs368764748</t>
  </si>
  <si>
    <t>Z41362</t>
  </si>
  <si>
    <t>rs369029989</t>
  </si>
  <si>
    <t>Z41363</t>
  </si>
  <si>
    <t>rs375553511</t>
  </si>
  <si>
    <t>Z41364</t>
  </si>
  <si>
    <t>rs375990450</t>
  </si>
  <si>
    <t>Z41365</t>
  </si>
  <si>
    <t>rs376948972</t>
  </si>
  <si>
    <t>Z41366</t>
  </si>
  <si>
    <t>rs375407971</t>
  </si>
  <si>
    <t>Z41367</t>
  </si>
  <si>
    <t>rs376600645</t>
  </si>
  <si>
    <t>Z41368</t>
  </si>
  <si>
    <t>rs374044148</t>
  </si>
  <si>
    <t>Z41369</t>
  </si>
  <si>
    <t>rs373371180</t>
  </si>
  <si>
    <t>Z41370</t>
  </si>
  <si>
    <t>rs375317701</t>
  </si>
  <si>
    <t>Z41371</t>
  </si>
  <si>
    <t>rs370281248</t>
  </si>
  <si>
    <t>Z41372</t>
  </si>
  <si>
    <t>rs375618232</t>
  </si>
  <si>
    <t>Z41373</t>
  </si>
  <si>
    <t>rs376575367</t>
  </si>
  <si>
    <t>Z41374</t>
  </si>
  <si>
    <t>rs372096865</t>
  </si>
  <si>
    <t>Z41375</t>
  </si>
  <si>
    <t>rs370116167</t>
  </si>
  <si>
    <t>Z41376</t>
  </si>
  <si>
    <t>rs375209573</t>
  </si>
  <si>
    <t>Z41377</t>
  </si>
  <si>
    <t>rs368026440</t>
  </si>
  <si>
    <t>Z41378</t>
  </si>
  <si>
    <t>rs370011716</t>
  </si>
  <si>
    <t>Z41379</t>
  </si>
  <si>
    <t>rs370078103</t>
  </si>
  <si>
    <t>Z41380</t>
  </si>
  <si>
    <t>rs372213967</t>
  </si>
  <si>
    <t>Z41381</t>
  </si>
  <si>
    <t>rs376363190</t>
  </si>
  <si>
    <t>Z41382</t>
  </si>
  <si>
    <t>rs372475882</t>
  </si>
  <si>
    <t>Z41383</t>
  </si>
  <si>
    <t>rs375420303</t>
  </si>
  <si>
    <t>Z41384</t>
  </si>
  <si>
    <t>rs368299082</t>
  </si>
  <si>
    <t>Z41385</t>
  </si>
  <si>
    <t>rs371597334</t>
  </si>
  <si>
    <t>Z41386</t>
  </si>
  <si>
    <t>rs376942289</t>
  </si>
  <si>
    <t>Z41387</t>
  </si>
  <si>
    <t>rs371942955</t>
  </si>
  <si>
    <t>Z41388</t>
  </si>
  <si>
    <t>rs373374044</t>
  </si>
  <si>
    <t>Z41390</t>
  </si>
  <si>
    <t>rs376757927</t>
  </si>
  <si>
    <t>Z41391</t>
  </si>
  <si>
    <t>rs370518403</t>
  </si>
  <si>
    <t>Z41392</t>
  </si>
  <si>
    <t>rs371001822</t>
  </si>
  <si>
    <t>Z41393</t>
  </si>
  <si>
    <t>rs374817935</t>
  </si>
  <si>
    <t>Z41394</t>
  </si>
  <si>
    <t>rs373407811</t>
  </si>
  <si>
    <t>Z41395</t>
  </si>
  <si>
    <t>rs372092077</t>
  </si>
  <si>
    <t>Z41396</t>
  </si>
  <si>
    <t>rs367943088</t>
  </si>
  <si>
    <t>Z41397</t>
  </si>
  <si>
    <t>rs376756729</t>
  </si>
  <si>
    <t>Z41398</t>
  </si>
  <si>
    <t>Z41399</t>
  </si>
  <si>
    <t>rs373163897</t>
  </si>
  <si>
    <t>Z41400</t>
  </si>
  <si>
    <t>rs368016625</t>
  </si>
  <si>
    <t>Z41401</t>
  </si>
  <si>
    <t>rs367559607</t>
  </si>
  <si>
    <t>Z41402</t>
  </si>
  <si>
    <t>rs367559302</t>
  </si>
  <si>
    <t>Z41403</t>
  </si>
  <si>
    <t>rs369690900</t>
  </si>
  <si>
    <t>Z41404</t>
  </si>
  <si>
    <t>rs373720886</t>
  </si>
  <si>
    <t>Z41408</t>
  </si>
  <si>
    <t>rs373343708</t>
  </si>
  <si>
    <t>Z41410</t>
  </si>
  <si>
    <t>rs372792256</t>
  </si>
  <si>
    <t>Z41411</t>
  </si>
  <si>
    <t>rs376950301</t>
  </si>
  <si>
    <t>Z41412</t>
  </si>
  <si>
    <t>rs377595399</t>
  </si>
  <si>
    <t>Z41413</t>
  </si>
  <si>
    <t>rs369925438</t>
  </si>
  <si>
    <t>Z41414</t>
  </si>
  <si>
    <t>rs926567328</t>
  </si>
  <si>
    <t>Z41415</t>
  </si>
  <si>
    <t>rs375691405</t>
  </si>
  <si>
    <t>Z41416</t>
  </si>
  <si>
    <t>rs377532969</t>
  </si>
  <si>
    <t>Z41417</t>
  </si>
  <si>
    <t>rs371300760</t>
  </si>
  <si>
    <t>Z41418</t>
  </si>
  <si>
    <t>rs375303407</t>
  </si>
  <si>
    <t>Z41419</t>
  </si>
  <si>
    <t>rs376116214</t>
  </si>
  <si>
    <t>Z41420</t>
  </si>
  <si>
    <t>rs372190108</t>
  </si>
  <si>
    <t>Z41421</t>
  </si>
  <si>
    <t>rs375662148</t>
  </si>
  <si>
    <t>Z41422</t>
  </si>
  <si>
    <t>rs376094090</t>
  </si>
  <si>
    <t>Z41423</t>
  </si>
  <si>
    <t>rs375491017</t>
  </si>
  <si>
    <t>Z41424</t>
  </si>
  <si>
    <t>rs370124104</t>
  </si>
  <si>
    <t>Z41425</t>
  </si>
  <si>
    <t>rs369455826</t>
  </si>
  <si>
    <t>Z41426</t>
  </si>
  <si>
    <t>rs370580575</t>
  </si>
  <si>
    <t>Z41427</t>
  </si>
  <si>
    <t>rs370621727</t>
  </si>
  <si>
    <t>Z41428</t>
  </si>
  <si>
    <t>rs372656604</t>
  </si>
  <si>
    <t>Z41429</t>
  </si>
  <si>
    <t>rs375475655</t>
  </si>
  <si>
    <t>Z41430</t>
  </si>
  <si>
    <t>rs377728962</t>
  </si>
  <si>
    <t>Z41431</t>
  </si>
  <si>
    <t>rs377723508</t>
  </si>
  <si>
    <t>Z41432</t>
  </si>
  <si>
    <t>rs370060364</t>
  </si>
  <si>
    <t>Z41433</t>
  </si>
  <si>
    <t>rs368609916</t>
  </si>
  <si>
    <t>Z41434</t>
  </si>
  <si>
    <t>rs376950307</t>
  </si>
  <si>
    <t>Z41435</t>
  </si>
  <si>
    <t>rs375268733</t>
  </si>
  <si>
    <t>Z41436</t>
  </si>
  <si>
    <t>rs368582802</t>
  </si>
  <si>
    <t>Z41437</t>
  </si>
  <si>
    <t>rs369175301</t>
  </si>
  <si>
    <t>Z41438</t>
  </si>
  <si>
    <t>rs374391764</t>
  </si>
  <si>
    <t>Z41439</t>
  </si>
  <si>
    <t>rs367754975</t>
  </si>
  <si>
    <t>Z41440</t>
  </si>
  <si>
    <t>rs372420248</t>
  </si>
  <si>
    <t>Z41441</t>
  </si>
  <si>
    <t>rs369005001</t>
  </si>
  <si>
    <t>Z41442</t>
  </si>
  <si>
    <t>rs373780872</t>
  </si>
  <si>
    <t>Z41443</t>
  </si>
  <si>
    <t>rs373627379</t>
  </si>
  <si>
    <t>Z41444</t>
  </si>
  <si>
    <t>rs373260847</t>
  </si>
  <si>
    <t>Z41445</t>
  </si>
  <si>
    <t>rs374722999</t>
  </si>
  <si>
    <t>Z41446</t>
  </si>
  <si>
    <t>rs373077948</t>
  </si>
  <si>
    <t>Z41447</t>
  </si>
  <si>
    <t>rs377599053</t>
  </si>
  <si>
    <t>Z41448</t>
  </si>
  <si>
    <t>rs368779007</t>
  </si>
  <si>
    <t>Z41449</t>
  </si>
  <si>
    <t>rs374563573</t>
  </si>
  <si>
    <t>Z41450</t>
  </si>
  <si>
    <t>rs370023949</t>
  </si>
  <si>
    <t>Z41451</t>
  </si>
  <si>
    <t>rs369029689</t>
  </si>
  <si>
    <t>Z41452</t>
  </si>
  <si>
    <t>rs373645709</t>
  </si>
  <si>
    <t>Z41453</t>
  </si>
  <si>
    <t>rs370385628</t>
  </si>
  <si>
    <t>Z41456</t>
  </si>
  <si>
    <t>rs375167983</t>
  </si>
  <si>
    <t>Z41457</t>
  </si>
  <si>
    <t>rs369707520</t>
  </si>
  <si>
    <t>Z41458</t>
  </si>
  <si>
    <t>rs375176652</t>
  </si>
  <si>
    <t>Z41459</t>
  </si>
  <si>
    <t>rs370290613</t>
  </si>
  <si>
    <t>Z41460</t>
  </si>
  <si>
    <t>rs372404433</t>
  </si>
  <si>
    <t>Z41461</t>
  </si>
  <si>
    <t>rs370308417</t>
  </si>
  <si>
    <t>Z41462</t>
  </si>
  <si>
    <t>rs372977508</t>
  </si>
  <si>
    <t>Z41463</t>
  </si>
  <si>
    <t>rs371681211</t>
  </si>
  <si>
    <t>Z41464</t>
  </si>
  <si>
    <t>Z41465</t>
  </si>
  <si>
    <t>rs372588095</t>
  </si>
  <si>
    <t>Z41466</t>
  </si>
  <si>
    <t>rs371063368</t>
  </si>
  <si>
    <t>Z41467</t>
  </si>
  <si>
    <t>rs376108908</t>
  </si>
  <si>
    <t>Z41468</t>
  </si>
  <si>
    <t>rs370618649</t>
  </si>
  <si>
    <t>Z41469</t>
  </si>
  <si>
    <t>rs375978442</t>
  </si>
  <si>
    <t>Z41470</t>
  </si>
  <si>
    <t>rs367844248</t>
  </si>
  <si>
    <t>Z41471</t>
  </si>
  <si>
    <t>rs375122199</t>
  </si>
  <si>
    <t>Z41472</t>
  </si>
  <si>
    <t>rs368585315</t>
  </si>
  <si>
    <t>Z41473</t>
  </si>
  <si>
    <t>rs370991624</t>
  </si>
  <si>
    <t>Z41474</t>
  </si>
  <si>
    <t>rs372979437</t>
  </si>
  <si>
    <t>Z41475</t>
  </si>
  <si>
    <t>rs376568306</t>
  </si>
  <si>
    <t>Z41476</t>
  </si>
  <si>
    <t>rs377047845</t>
  </si>
  <si>
    <t>Z41477</t>
  </si>
  <si>
    <t>rs371060918</t>
  </si>
  <si>
    <t>Z41478</t>
  </si>
  <si>
    <t>rs374459594</t>
  </si>
  <si>
    <t>Z41479</t>
  </si>
  <si>
    <t>rs376551154</t>
  </si>
  <si>
    <t>Z41480</t>
  </si>
  <si>
    <t>rs368309130</t>
  </si>
  <si>
    <t>Z41481</t>
  </si>
  <si>
    <t>rs376084535</t>
  </si>
  <si>
    <t>Z41482</t>
  </si>
  <si>
    <t>rs374583162</t>
  </si>
  <si>
    <t>Z41483</t>
  </si>
  <si>
    <t>rs372859543</t>
  </si>
  <si>
    <t>Z41484</t>
  </si>
  <si>
    <t>Z41485</t>
  </si>
  <si>
    <t>rs373864354</t>
  </si>
  <si>
    <t>Z41486</t>
  </si>
  <si>
    <t>rs371936296</t>
  </si>
  <si>
    <t>Z41487</t>
  </si>
  <si>
    <t>rs368208758</t>
  </si>
  <si>
    <t>Z41488</t>
  </si>
  <si>
    <t>rs368855198</t>
  </si>
  <si>
    <t>Z41489</t>
  </si>
  <si>
    <t>rs376015318</t>
  </si>
  <si>
    <t>Z41490</t>
  </si>
  <si>
    <t>rs367787633</t>
  </si>
  <si>
    <t>Z41491</t>
  </si>
  <si>
    <t>rs376006398</t>
  </si>
  <si>
    <t>Z41492</t>
  </si>
  <si>
    <t>rs367800639</t>
  </si>
  <si>
    <t>Z41493</t>
  </si>
  <si>
    <t>rs370761123</t>
  </si>
  <si>
    <t>Z41494</t>
  </si>
  <si>
    <t>rs375451396</t>
  </si>
  <si>
    <t>Z41495</t>
  </si>
  <si>
    <t>rs367568569</t>
  </si>
  <si>
    <t>Z41496</t>
  </si>
  <si>
    <t>rs374463669</t>
  </si>
  <si>
    <t>Z41497</t>
  </si>
  <si>
    <t>rs376968924</t>
  </si>
  <si>
    <t>Z41498</t>
  </si>
  <si>
    <t>rs935548903</t>
  </si>
  <si>
    <t>Z41499</t>
  </si>
  <si>
    <t>rs372695862</t>
  </si>
  <si>
    <t>Z41500</t>
  </si>
  <si>
    <t>rs371494341</t>
  </si>
  <si>
    <t>Z41501</t>
  </si>
  <si>
    <t>rs370718745</t>
  </si>
  <si>
    <t>Z41502</t>
  </si>
  <si>
    <t>rs373064997</t>
  </si>
  <si>
    <t>Z41503</t>
  </si>
  <si>
    <t>rs370592009</t>
  </si>
  <si>
    <t>Z41504</t>
  </si>
  <si>
    <t>rs372465921</t>
  </si>
  <si>
    <t>Z41355</t>
  </si>
  <si>
    <t>Z41389</t>
  </si>
  <si>
    <t>rs368290086</t>
  </si>
  <si>
    <t>Z41454</t>
  </si>
  <si>
    <t>rs377698614</t>
  </si>
  <si>
    <t>Z41342</t>
  </si>
  <si>
    <t>Z41343</t>
  </si>
  <si>
    <t>rs9341275</t>
  </si>
  <si>
    <t>SK1906</t>
  </si>
  <si>
    <t>SK1907</t>
  </si>
  <si>
    <t>rs1004746511</t>
  </si>
  <si>
    <t>SK1909</t>
  </si>
  <si>
    <t>SK1910</t>
  </si>
  <si>
    <t>SK1912</t>
  </si>
  <si>
    <t>Z41344</t>
  </si>
  <si>
    <t>Z41345</t>
  </si>
  <si>
    <t>Z41346</t>
  </si>
  <si>
    <t>Z41347</t>
  </si>
  <si>
    <t>Z41348</t>
  </si>
  <si>
    <t>SK1902</t>
  </si>
  <si>
    <t>SK1903</t>
  </si>
  <si>
    <t>SK1904</t>
  </si>
  <si>
    <t>SK1905</t>
  </si>
  <si>
    <t>Z41349</t>
  </si>
  <si>
    <t>Z41350</t>
  </si>
  <si>
    <t>Z41351</t>
  </si>
  <si>
    <t>Z41352</t>
  </si>
  <si>
    <t>Z41353</t>
  </si>
  <si>
    <t>Z41505</t>
  </si>
  <si>
    <t>Z41506</t>
  </si>
  <si>
    <t>Z41507</t>
  </si>
  <si>
    <t>Z41508</t>
  </si>
  <si>
    <t>Z41509</t>
  </si>
  <si>
    <t>F18342</t>
  </si>
  <si>
    <t>rs372739831</t>
  </si>
  <si>
    <t>F19241</t>
  </si>
  <si>
    <t>rs371720719</t>
  </si>
  <si>
    <t>F22808</t>
  </si>
  <si>
    <t>rs370094726</t>
  </si>
  <si>
    <t>FT61350^^</t>
  </si>
  <si>
    <t>FT62021</t>
  </si>
  <si>
    <t>rs368047916</t>
  </si>
  <si>
    <t>PH4133</t>
  </si>
  <si>
    <t>rs375473699</t>
  </si>
  <si>
    <t>S19576</t>
  </si>
  <si>
    <t>rs376253695</t>
  </si>
  <si>
    <t>SK1890</t>
  </si>
  <si>
    <t>rs368784180</t>
  </si>
  <si>
    <t>SK1897</t>
  </si>
  <si>
    <t>rs370312581</t>
  </si>
  <si>
    <t>SK1900</t>
  </si>
  <si>
    <t>rs371964763</t>
  </si>
  <si>
    <t>Y26126</t>
  </si>
  <si>
    <t>rs375553332</t>
  </si>
  <si>
    <t>Y26127</t>
  </si>
  <si>
    <t>rs367723581</t>
  </si>
  <si>
    <t>Y26137</t>
  </si>
  <si>
    <t>rs371626858</t>
  </si>
  <si>
    <t>Y26144</t>
  </si>
  <si>
    <t>Y26154</t>
  </si>
  <si>
    <t>rs374201463</t>
  </si>
  <si>
    <t>Y26155</t>
  </si>
  <si>
    <t>rs372699856</t>
  </si>
  <si>
    <t>Y26158^^</t>
  </si>
  <si>
    <t>rs368923746</t>
  </si>
  <si>
    <t>Y26162</t>
  </si>
  <si>
    <t>rs374204608</t>
  </si>
  <si>
    <t>Y26164^^</t>
  </si>
  <si>
    <t>rs371919647</t>
  </si>
  <si>
    <t>Y26171</t>
  </si>
  <si>
    <t>rs371359600</t>
  </si>
  <si>
    <t>Y26174^^</t>
  </si>
  <si>
    <t>rs370081354</t>
  </si>
  <si>
    <t>Y26175</t>
  </si>
  <si>
    <t>rs372082879</t>
  </si>
  <si>
    <t>Y26176^^</t>
  </si>
  <si>
    <t>rs367588492</t>
  </si>
  <si>
    <t>Y26178</t>
  </si>
  <si>
    <t>rs375053845</t>
  </si>
  <si>
    <t>Y26180</t>
  </si>
  <si>
    <t>rs374539532</t>
  </si>
  <si>
    <t>Y26182</t>
  </si>
  <si>
    <t>rs367689115</t>
  </si>
  <si>
    <t>Y26184</t>
  </si>
  <si>
    <t>rs370716884</t>
  </si>
  <si>
    <t>Y26185</t>
  </si>
  <si>
    <t>rs369728668</t>
  </si>
  <si>
    <t>Y26186</t>
  </si>
  <si>
    <t>rs373489100</t>
  </si>
  <si>
    <t>Y26187</t>
  </si>
  <si>
    <t>rs371737559</t>
  </si>
  <si>
    <t>Y26188</t>
  </si>
  <si>
    <t>rs371247768</t>
  </si>
  <si>
    <t>Y26191</t>
  </si>
  <si>
    <t>rs373362119</t>
  </si>
  <si>
    <t>Y26192</t>
  </si>
  <si>
    <t>rs374910441</t>
  </si>
  <si>
    <t>Y26193</t>
  </si>
  <si>
    <t>rs370468863</t>
  </si>
  <si>
    <t>Y26195</t>
  </si>
  <si>
    <t>rs377405563</t>
  </si>
  <si>
    <t>Y26202</t>
  </si>
  <si>
    <t>rs377033967</t>
  </si>
  <si>
    <t>Y26213</t>
  </si>
  <si>
    <t>Y26222</t>
  </si>
  <si>
    <t>rs368797721</t>
  </si>
  <si>
    <t>Y26223</t>
  </si>
  <si>
    <t>rs373384080</t>
  </si>
  <si>
    <t>Y26225</t>
  </si>
  <si>
    <t>rs377656059</t>
  </si>
  <si>
    <t>Y26226</t>
  </si>
  <si>
    <t>rs369490367</t>
  </si>
  <si>
    <t>Y26227</t>
  </si>
  <si>
    <t>rs375376319</t>
  </si>
  <si>
    <t>Y26229</t>
  </si>
  <si>
    <t>rs373427060</t>
  </si>
  <si>
    <t>Y26231</t>
  </si>
  <si>
    <t>rs374161635</t>
  </si>
  <si>
    <t>Y26234</t>
  </si>
  <si>
    <t>rs374347707</t>
  </si>
  <si>
    <t>Y26237</t>
  </si>
  <si>
    <t>rs367941928</t>
  </si>
  <si>
    <t>Y26238</t>
  </si>
  <si>
    <t>rs375421409</t>
  </si>
  <si>
    <t>Y26245</t>
  </si>
  <si>
    <t>rs374738079</t>
  </si>
  <si>
    <t>Y26247</t>
  </si>
  <si>
    <t>rs368022852</t>
  </si>
  <si>
    <t>Y26252</t>
  </si>
  <si>
    <t>rs371386769</t>
  </si>
  <si>
    <t>Y26259</t>
  </si>
  <si>
    <t>rs368289441</t>
  </si>
  <si>
    <t>Y26267</t>
  </si>
  <si>
    <t>rs372826303</t>
  </si>
  <si>
    <t>Y26270</t>
  </si>
  <si>
    <t>rs368059949</t>
  </si>
  <si>
    <t>Y26281^^</t>
  </si>
  <si>
    <t>rs370888285</t>
  </si>
  <si>
    <t>Y26282</t>
  </si>
  <si>
    <t>rs373347936</t>
  </si>
  <si>
    <t>Y27737</t>
  </si>
  <si>
    <t>rs376446143</t>
  </si>
  <si>
    <t>Y27741</t>
  </si>
  <si>
    <t>rs368867668</t>
  </si>
  <si>
    <t>Y27742</t>
  </si>
  <si>
    <t>rs375512408</t>
  </si>
  <si>
    <t>Y27743</t>
  </si>
  <si>
    <t>rs376079459</t>
  </si>
  <si>
    <t>Y27745</t>
  </si>
  <si>
    <t>rs375618538</t>
  </si>
  <si>
    <t>Y27747</t>
  </si>
  <si>
    <t>rs375971054</t>
  </si>
  <si>
    <t>Y27754</t>
  </si>
  <si>
    <t>rs374474611</t>
  </si>
  <si>
    <t>Y27761</t>
  </si>
  <si>
    <t>rs371587097</t>
  </si>
  <si>
    <t>Y27763</t>
  </si>
  <si>
    <t>rs375366968</t>
  </si>
  <si>
    <t>Y27766</t>
  </si>
  <si>
    <t>rs368291703</t>
  </si>
  <si>
    <t>Y27781</t>
  </si>
  <si>
    <t>rs369343424</t>
  </si>
  <si>
    <t>Y27783</t>
  </si>
  <si>
    <t>rs370406613</t>
  </si>
  <si>
    <t>Y27786</t>
  </si>
  <si>
    <t>rs370959858</t>
  </si>
  <si>
    <t>Y27789</t>
  </si>
  <si>
    <t>rs370054053</t>
  </si>
  <si>
    <t>Y27791</t>
  </si>
  <si>
    <t>rs376829417</t>
  </si>
  <si>
    <t>Y27794</t>
  </si>
  <si>
    <t>rs372006876</t>
  </si>
  <si>
    <t>Y27800</t>
  </si>
  <si>
    <t>rs368259786</t>
  </si>
  <si>
    <t>Y27803</t>
  </si>
  <si>
    <t>rs367617079</t>
  </si>
  <si>
    <t>Y27810</t>
  </si>
  <si>
    <t>rs374360707</t>
  </si>
  <si>
    <t>Y27813</t>
  </si>
  <si>
    <t>Y27814</t>
  </si>
  <si>
    <t>rs374697260</t>
  </si>
  <si>
    <t>Y27817</t>
  </si>
  <si>
    <t>rs377041016</t>
  </si>
  <si>
    <t>Y27819</t>
  </si>
  <si>
    <t>rs374025987</t>
  </si>
  <si>
    <t>Y27820</t>
  </si>
  <si>
    <t>Y27825</t>
  </si>
  <si>
    <t>rs368900391</t>
  </si>
  <si>
    <t>Y27826</t>
  </si>
  <si>
    <t>rs367879300</t>
  </si>
  <si>
    <t>Y141863</t>
  </si>
  <si>
    <t>rs374857172</t>
  </si>
  <si>
    <t>Y154896</t>
  </si>
  <si>
    <t>rs368012890</t>
  </si>
  <si>
    <t>Z33754</t>
  </si>
  <si>
    <t>rs371870819</t>
  </si>
  <si>
    <t>Z33755</t>
  </si>
  <si>
    <t>rs370247998</t>
  </si>
  <si>
    <t>A17763.2</t>
  </si>
  <si>
    <t>BY150102</t>
  </si>
  <si>
    <t>BY165446</t>
  </si>
  <si>
    <t>BY205691.2</t>
  </si>
  <si>
    <t>Y164536.2</t>
  </si>
  <si>
    <t>F26612</t>
  </si>
  <si>
    <t>rs370019817</t>
  </si>
  <si>
    <t>F16114</t>
  </si>
  <si>
    <t>rs367989506</t>
  </si>
  <si>
    <t>F16490</t>
  </si>
  <si>
    <t>rs367619028</t>
  </si>
  <si>
    <t>F18697</t>
  </si>
  <si>
    <t>rs368719393</t>
  </si>
  <si>
    <t>F23927</t>
  </si>
  <si>
    <t>rs371864278</t>
  </si>
  <si>
    <t>F26047</t>
  </si>
  <si>
    <t>rs372750364</t>
  </si>
  <si>
    <t>F61431</t>
  </si>
  <si>
    <t>FGC53610</t>
  </si>
  <si>
    <t>FT60487</t>
  </si>
  <si>
    <t>FT60491</t>
  </si>
  <si>
    <t>FT60492</t>
  </si>
  <si>
    <t>FT60494</t>
  </si>
  <si>
    <t>FT60496</t>
  </si>
  <si>
    <t>FT61039</t>
  </si>
  <si>
    <t>FT61062</t>
  </si>
  <si>
    <t>FT61065</t>
  </si>
  <si>
    <t>FT61068</t>
  </si>
  <si>
    <t>FT61069</t>
  </si>
  <si>
    <t>FT61071</t>
  </si>
  <si>
    <t>FT61104</t>
  </si>
  <si>
    <t>FT61122^^</t>
  </si>
  <si>
    <t>FT61125</t>
  </si>
  <si>
    <t>FT61126</t>
  </si>
  <si>
    <t>FT61140</t>
  </si>
  <si>
    <t>FT61143</t>
  </si>
  <si>
    <t>FT61144</t>
  </si>
  <si>
    <t>FT61145</t>
  </si>
  <si>
    <t>FT61158</t>
  </si>
  <si>
    <t>FT61161</t>
  </si>
  <si>
    <t>FT61165</t>
  </si>
  <si>
    <t>FT61167</t>
  </si>
  <si>
    <t>FT61180</t>
  </si>
  <si>
    <t>FT61193</t>
  </si>
  <si>
    <t>FT61200</t>
  </si>
  <si>
    <t>FT61213</t>
  </si>
  <si>
    <t>FT61243</t>
  </si>
  <si>
    <t>FT61256</t>
  </si>
  <si>
    <t>FT61270^^</t>
  </si>
  <si>
    <t>FT61277</t>
  </si>
  <si>
    <t>FT61297^^</t>
  </si>
  <si>
    <t>FT61298^^</t>
  </si>
  <si>
    <t>FT61308</t>
  </si>
  <si>
    <t>FT61356</t>
  </si>
  <si>
    <t>FT61363</t>
  </si>
  <si>
    <t>FT61381</t>
  </si>
  <si>
    <t>FT61388</t>
  </si>
  <si>
    <t>FT61406</t>
  </si>
  <si>
    <t>FT61411</t>
  </si>
  <si>
    <t>FT61414</t>
  </si>
  <si>
    <t>rs377477479</t>
  </si>
  <si>
    <t>FT61427</t>
  </si>
  <si>
    <t>FT61447^^</t>
  </si>
  <si>
    <t>rs375045256</t>
  </si>
  <si>
    <t>FT61453</t>
  </si>
  <si>
    <t>FT61460</t>
  </si>
  <si>
    <t>FT61462</t>
  </si>
  <si>
    <t>FT61465</t>
  </si>
  <si>
    <t>FT61472</t>
  </si>
  <si>
    <t>FT61473</t>
  </si>
  <si>
    <t>FT61491</t>
  </si>
  <si>
    <t>FT61500</t>
  </si>
  <si>
    <t>FT61510</t>
  </si>
  <si>
    <t>FT61540</t>
  </si>
  <si>
    <t>FT61573</t>
  </si>
  <si>
    <t>FT61587</t>
  </si>
  <si>
    <t>FT61602</t>
  </si>
  <si>
    <t>FT61615</t>
  </si>
  <si>
    <t>FT61620</t>
  </si>
  <si>
    <t>FT61638</t>
  </si>
  <si>
    <t>FT61650</t>
  </si>
  <si>
    <t>FT61655</t>
  </si>
  <si>
    <t>FT61662</t>
  </si>
  <si>
    <t>FT61667</t>
  </si>
  <si>
    <t>FT61676</t>
  </si>
  <si>
    <t>FT61692</t>
  </si>
  <si>
    <t>FT61709</t>
  </si>
  <si>
    <t>FT61761</t>
  </si>
  <si>
    <t>FT61770</t>
  </si>
  <si>
    <t>FT61808</t>
  </si>
  <si>
    <t>FT61813</t>
  </si>
  <si>
    <t>FT61830</t>
  </si>
  <si>
    <t>FT61831</t>
  </si>
  <si>
    <t>FT61860</t>
  </si>
  <si>
    <t>FT61872</t>
  </si>
  <si>
    <t>FT61889</t>
  </si>
  <si>
    <t>FT61891</t>
  </si>
  <si>
    <t>FT61894</t>
  </si>
  <si>
    <t>FT61903</t>
  </si>
  <si>
    <t>FT61908^^</t>
  </si>
  <si>
    <t>FT61934</t>
  </si>
  <si>
    <t>FT61937</t>
  </si>
  <si>
    <t>FT61943</t>
  </si>
  <si>
    <t>FT61944</t>
  </si>
  <si>
    <t>FT61958</t>
  </si>
  <si>
    <t>FT61962</t>
  </si>
  <si>
    <t>FT61969</t>
  </si>
  <si>
    <t>FT61978</t>
  </si>
  <si>
    <t>FT61983</t>
  </si>
  <si>
    <t>FT62023</t>
  </si>
  <si>
    <t>rs377064977</t>
  </si>
  <si>
    <t>FT62037^^</t>
  </si>
  <si>
    <t>FT62059</t>
  </si>
  <si>
    <t>FT62069</t>
  </si>
  <si>
    <t>FT62088</t>
  </si>
  <si>
    <t>FT62089</t>
  </si>
  <si>
    <t>FT62092</t>
  </si>
  <si>
    <t>FT62093</t>
  </si>
  <si>
    <t>FT62114</t>
  </si>
  <si>
    <t>FT62125</t>
  </si>
  <si>
    <t>FT62133</t>
  </si>
  <si>
    <t>FT62139</t>
  </si>
  <si>
    <t>FT62157</t>
  </si>
  <si>
    <t>FT62162</t>
  </si>
  <si>
    <t>FT62181</t>
  </si>
  <si>
    <t>FT62185</t>
  </si>
  <si>
    <t>FT62194</t>
  </si>
  <si>
    <t>FT62198</t>
  </si>
  <si>
    <t>FT62201</t>
  </si>
  <si>
    <t>FT62214</t>
  </si>
  <si>
    <t>FT62215</t>
  </si>
  <si>
    <t>FT62235</t>
  </si>
  <si>
    <t>FT62243</t>
  </si>
  <si>
    <t>FT62259</t>
  </si>
  <si>
    <t>FT62267^^</t>
  </si>
  <si>
    <t>FT62269^^</t>
  </si>
  <si>
    <t>FT62295^^</t>
  </si>
  <si>
    <t>FT62296^^</t>
  </si>
  <si>
    <t>FT62323^^</t>
  </si>
  <si>
    <t>FT62324^^</t>
  </si>
  <si>
    <t>FT62326^^</t>
  </si>
  <si>
    <t>M828</t>
  </si>
  <si>
    <t>rs561914694</t>
  </si>
  <si>
    <t>MF8413.2</t>
  </si>
  <si>
    <t>rs780302118</t>
  </si>
  <si>
    <t>MF11261.2</t>
  </si>
  <si>
    <t>V3420</t>
  </si>
  <si>
    <t>rs549773029</t>
  </si>
  <si>
    <t>Y26163</t>
  </si>
  <si>
    <t>rs371247627</t>
  </si>
  <si>
    <t>Y26200</t>
  </si>
  <si>
    <t>rs374251864</t>
  </si>
  <si>
    <t>Y146339.2</t>
  </si>
  <si>
    <t>Z15384.2</t>
  </si>
  <si>
    <t>rs765613374</t>
  </si>
  <si>
    <t>Z41767</t>
  </si>
  <si>
    <t>FGC9126</t>
  </si>
  <si>
    <t>rs113012723</t>
  </si>
  <si>
    <t>Z41768</t>
  </si>
  <si>
    <t>Z41770</t>
  </si>
  <si>
    <t>Z41772</t>
  </si>
  <si>
    <t>Z41775</t>
  </si>
  <si>
    <t>Z41776</t>
  </si>
  <si>
    <t>Z41777</t>
  </si>
  <si>
    <t>Z41778</t>
  </si>
  <si>
    <t>rs946546519</t>
  </si>
  <si>
    <t>Z41779</t>
  </si>
  <si>
    <t>Z41781</t>
  </si>
  <si>
    <t>Z41782</t>
  </si>
  <si>
    <t>Z41783</t>
  </si>
  <si>
    <t>Z41786</t>
  </si>
  <si>
    <t>Z41787</t>
  </si>
  <si>
    <t>Z41789</t>
  </si>
  <si>
    <t>Z41791</t>
  </si>
  <si>
    <t>Z41796</t>
  </si>
  <si>
    <t>Z41797</t>
  </si>
  <si>
    <t>Z41799</t>
  </si>
  <si>
    <t>Z41800</t>
  </si>
  <si>
    <t>Z41802</t>
  </si>
  <si>
    <t>Z41804</t>
  </si>
  <si>
    <t>Z41813</t>
  </si>
  <si>
    <t>Z41814</t>
  </si>
  <si>
    <t>Z41816</t>
  </si>
  <si>
    <t>Z41819</t>
  </si>
  <si>
    <t>Z41823</t>
  </si>
  <si>
    <t>Z41824</t>
  </si>
  <si>
    <t>Z41825</t>
  </si>
  <si>
    <t>Z41827</t>
  </si>
  <si>
    <t>Z41828</t>
  </si>
  <si>
    <t>Z41829</t>
  </si>
  <si>
    <t>Z41830</t>
  </si>
  <si>
    <t>Z41832</t>
  </si>
  <si>
    <t>Z41833</t>
  </si>
  <si>
    <t>Z41835</t>
  </si>
  <si>
    <t>Z41838</t>
  </si>
  <si>
    <t>Z41839</t>
  </si>
  <si>
    <t>Z41840</t>
  </si>
  <si>
    <t>Z41841</t>
  </si>
  <si>
    <t>Z41846</t>
  </si>
  <si>
    <t>Z41849</t>
  </si>
  <si>
    <t>Z41851</t>
  </si>
  <si>
    <t>Z41855</t>
  </si>
  <si>
    <t>Z41856</t>
  </si>
  <si>
    <t>Z41858</t>
  </si>
  <si>
    <t>Z41859</t>
  </si>
  <si>
    <t>rs1042390277</t>
  </si>
  <si>
    <t>Z41860</t>
  </si>
  <si>
    <t>Z41863</t>
  </si>
  <si>
    <t>Z41865</t>
  </si>
  <si>
    <t>Z41866</t>
  </si>
  <si>
    <t>Z41868</t>
  </si>
  <si>
    <t>Z41869</t>
  </si>
  <si>
    <t>Z41875</t>
  </si>
  <si>
    <t>Z41879</t>
  </si>
  <si>
    <t>Z41883</t>
  </si>
  <si>
    <t>Z41884</t>
  </si>
  <si>
    <t>rs950538119</t>
  </si>
  <si>
    <t>Z41885</t>
  </si>
  <si>
    <t>Z41886</t>
  </si>
  <si>
    <t>Z41887</t>
  </si>
  <si>
    <t>Z41892</t>
  </si>
  <si>
    <t>Z41893</t>
  </si>
  <si>
    <t>rs1047211177</t>
  </si>
  <si>
    <t>Z41896</t>
  </si>
  <si>
    <t>Z41898</t>
  </si>
  <si>
    <t>Z41906</t>
  </si>
  <si>
    <t>Z41910</t>
  </si>
  <si>
    <t>Z41914</t>
  </si>
  <si>
    <t>Z41915</t>
  </si>
  <si>
    <t>rs2381324</t>
  </si>
  <si>
    <t>P307</t>
  </si>
  <si>
    <t>rs796363895</t>
  </si>
  <si>
    <t>AM00804.2</t>
  </si>
  <si>
    <t>F13168.2; Z33223.2</t>
  </si>
  <si>
    <t>rs376041657</t>
  </si>
  <si>
    <t>F13168.2</t>
  </si>
  <si>
    <t>AM00804.2; Z33223.2</t>
  </si>
  <si>
    <t>Z33223.2</t>
  </si>
  <si>
    <t>AM00804.2; F13168.2</t>
  </si>
  <si>
    <t>BY5891</t>
  </si>
  <si>
    <t>BY72454</t>
  </si>
  <si>
    <t>BY86397^^</t>
  </si>
  <si>
    <t>BY88041</t>
  </si>
  <si>
    <t>BY89665^^</t>
  </si>
  <si>
    <t>BY95749^^</t>
  </si>
  <si>
    <t>CTS595.2</t>
  </si>
  <si>
    <t>rs764723851</t>
  </si>
  <si>
    <t>F19978</t>
  </si>
  <si>
    <t>rs567453303</t>
  </si>
  <si>
    <t>FT70599^^</t>
  </si>
  <si>
    <t>FT127604^^</t>
  </si>
  <si>
    <t>FT163084</t>
  </si>
  <si>
    <t>FT178878</t>
  </si>
  <si>
    <t>FT178879</t>
  </si>
  <si>
    <t>FT179011</t>
  </si>
  <si>
    <t>FT179024</t>
  </si>
  <si>
    <t>FT179032</t>
  </si>
  <si>
    <t>FT179126</t>
  </si>
  <si>
    <t>FT179147</t>
  </si>
  <si>
    <t>FT179202</t>
  </si>
  <si>
    <t>FT179306</t>
  </si>
  <si>
    <t>FT179307</t>
  </si>
  <si>
    <t>FT179370</t>
  </si>
  <si>
    <t>FT179405</t>
  </si>
  <si>
    <t>FT179420</t>
  </si>
  <si>
    <t>FT179498</t>
  </si>
  <si>
    <t>FT179558</t>
  </si>
  <si>
    <t>FT179666</t>
  </si>
  <si>
    <t>FT179692</t>
  </si>
  <si>
    <t>FT179695</t>
  </si>
  <si>
    <t>FT179790</t>
  </si>
  <si>
    <t>FT179857</t>
  </si>
  <si>
    <t>FT179950</t>
  </si>
  <si>
    <t>FT179955</t>
  </si>
  <si>
    <t>FT179963</t>
  </si>
  <si>
    <t>FT180253</t>
  </si>
  <si>
    <t>FT180265</t>
  </si>
  <si>
    <t>FT180272</t>
  </si>
  <si>
    <t>FT180321</t>
  </si>
  <si>
    <t>FT180337</t>
  </si>
  <si>
    <t>FT180392</t>
  </si>
  <si>
    <t>FT180411</t>
  </si>
  <si>
    <t>FT180468</t>
  </si>
  <si>
    <t>FT180498</t>
  </si>
  <si>
    <t>FT180499</t>
  </si>
  <si>
    <t>FT180546</t>
  </si>
  <si>
    <t>FT180612</t>
  </si>
  <si>
    <t>FT180645</t>
  </si>
  <si>
    <t>FT180718</t>
  </si>
  <si>
    <t>FT180805</t>
  </si>
  <si>
    <t>FT180829</t>
  </si>
  <si>
    <t>FT180904</t>
  </si>
  <si>
    <t>FT180920</t>
  </si>
  <si>
    <t>FT180942</t>
  </si>
  <si>
    <t>FT181141</t>
  </si>
  <si>
    <t>FT181178</t>
  </si>
  <si>
    <t>FT181250</t>
  </si>
  <si>
    <t>FT181277</t>
  </si>
  <si>
    <t>FT181301</t>
  </si>
  <si>
    <t>FT181575</t>
  </si>
  <si>
    <t>FT181606</t>
  </si>
  <si>
    <t>FT181681</t>
  </si>
  <si>
    <t>FT181691</t>
  </si>
  <si>
    <t>FT181697</t>
  </si>
  <si>
    <t>FT181700</t>
  </si>
  <si>
    <t>FT181811</t>
  </si>
  <si>
    <t>FT181813</t>
  </si>
  <si>
    <t>FT181893</t>
  </si>
  <si>
    <t>FT181913</t>
  </si>
  <si>
    <t>FT181940</t>
  </si>
  <si>
    <t>FT181952</t>
  </si>
  <si>
    <t>FT182006</t>
  </si>
  <si>
    <t>FT182120</t>
  </si>
  <si>
    <t>FT182133</t>
  </si>
  <si>
    <t>FT182139</t>
  </si>
  <si>
    <t>FT182179</t>
  </si>
  <si>
    <t>FT182220</t>
  </si>
  <si>
    <t>FT182240</t>
  </si>
  <si>
    <t>FT182289</t>
  </si>
  <si>
    <t>FT182401</t>
  </si>
  <si>
    <t>FT182419</t>
  </si>
  <si>
    <t>FT182437</t>
  </si>
  <si>
    <t>FT182452</t>
  </si>
  <si>
    <t>FT182552</t>
  </si>
  <si>
    <t>FT182579</t>
  </si>
  <si>
    <t>FT182688</t>
  </si>
  <si>
    <t>FT182705</t>
  </si>
  <si>
    <t>FT182757</t>
  </si>
  <si>
    <t>FT182758</t>
  </si>
  <si>
    <t>FT182880</t>
  </si>
  <si>
    <t>FT182903</t>
  </si>
  <si>
    <t>FT191229</t>
  </si>
  <si>
    <t>FT191243</t>
  </si>
  <si>
    <t>FT191270^^</t>
  </si>
  <si>
    <t>FT191281^^</t>
  </si>
  <si>
    <t>FT191305^^</t>
  </si>
  <si>
    <t>FT191355^^</t>
  </si>
  <si>
    <t>FT191362^^</t>
  </si>
  <si>
    <t>FT191388^^</t>
  </si>
  <si>
    <t>FT191397^^</t>
  </si>
  <si>
    <t>FT191406^^</t>
  </si>
  <si>
    <t>FT191407^^</t>
  </si>
  <si>
    <t>FT191416^^</t>
  </si>
  <si>
    <t>FT191484^^</t>
  </si>
  <si>
    <t>FT191509^^</t>
  </si>
  <si>
    <t>FT191593^^</t>
  </si>
  <si>
    <t>FT191600^^</t>
  </si>
  <si>
    <t>FT191644^^</t>
  </si>
  <si>
    <t>FT191740^^</t>
  </si>
  <si>
    <t>FT191757^^</t>
  </si>
  <si>
    <t>FT191806^^</t>
  </si>
  <si>
    <t>FT191821^^</t>
  </si>
  <si>
    <t>FT191842^^</t>
  </si>
  <si>
    <t>FT191862^^</t>
  </si>
  <si>
    <t>FT191871^^</t>
  </si>
  <si>
    <t>FT191933^^</t>
  </si>
  <si>
    <t>FT192001^^</t>
  </si>
  <si>
    <t>FT192026^^</t>
  </si>
  <si>
    <t>FT192089^^</t>
  </si>
  <si>
    <t>FT192142^^</t>
  </si>
  <si>
    <t>FT192260</t>
  </si>
  <si>
    <t>FT192493</t>
  </si>
  <si>
    <t>FT192780</t>
  </si>
  <si>
    <t>FT192791</t>
  </si>
  <si>
    <t>FT192819^^</t>
  </si>
  <si>
    <t>FT192820^^</t>
  </si>
  <si>
    <t>FT192887</t>
  </si>
  <si>
    <t>FT192889</t>
  </si>
  <si>
    <t>FT192892</t>
  </si>
  <si>
    <t>FT192914</t>
  </si>
  <si>
    <t>FT192935</t>
  </si>
  <si>
    <t>FT192969.2</t>
  </si>
  <si>
    <t>MF136585.2</t>
  </si>
  <si>
    <t>FT193268</t>
  </si>
  <si>
    <t>FT193271</t>
  </si>
  <si>
    <t>FT193333</t>
  </si>
  <si>
    <t>FT193334</t>
  </si>
  <si>
    <t>FT193337</t>
  </si>
  <si>
    <t>FT193625</t>
  </si>
  <si>
    <t>FT193627</t>
  </si>
  <si>
    <t>FT193642</t>
  </si>
  <si>
    <t>FT193658</t>
  </si>
  <si>
    <t>FT193716</t>
  </si>
  <si>
    <t>FT193793</t>
  </si>
  <si>
    <t>FT193844</t>
  </si>
  <si>
    <t>FT194015</t>
  </si>
  <si>
    <t>FT194234</t>
  </si>
  <si>
    <t>FT194455</t>
  </si>
  <si>
    <t>FT194458</t>
  </si>
  <si>
    <t>FT194491^^</t>
  </si>
  <si>
    <t>FT194492^^</t>
  </si>
  <si>
    <t>FT194508</t>
  </si>
  <si>
    <t>FT194510</t>
  </si>
  <si>
    <t>FT194515</t>
  </si>
  <si>
    <t>FT194534^^</t>
  </si>
  <si>
    <t>FT194586^^</t>
  </si>
  <si>
    <t>FT194605^^</t>
  </si>
  <si>
    <t>FT194611^^</t>
  </si>
  <si>
    <t>FT230517^^</t>
  </si>
  <si>
    <t>FT230550^^</t>
  </si>
  <si>
    <t>FT231342</t>
  </si>
  <si>
    <t>FT231377</t>
  </si>
  <si>
    <t>FT231441</t>
  </si>
  <si>
    <t>FT232041</t>
  </si>
  <si>
    <t>FT265069^^</t>
  </si>
  <si>
    <t>FT265072</t>
  </si>
  <si>
    <t>FT265077^^</t>
  </si>
  <si>
    <t>FT265078</t>
  </si>
  <si>
    <t>FT265079^^</t>
  </si>
  <si>
    <t>FT265080^^</t>
  </si>
  <si>
    <t>FT265081^^</t>
  </si>
  <si>
    <t>FT265082^^</t>
  </si>
  <si>
    <t>FT265083</t>
  </si>
  <si>
    <t>FT265084</t>
  </si>
  <si>
    <t>FT265085</t>
  </si>
  <si>
    <t>FT265095</t>
  </si>
  <si>
    <t>FT265096</t>
  </si>
  <si>
    <t>FT265097</t>
  </si>
  <si>
    <t>FT265098</t>
  </si>
  <si>
    <t>FT265099</t>
  </si>
  <si>
    <t>FT265100^^</t>
  </si>
  <si>
    <t>FT265103^^</t>
  </si>
  <si>
    <t>FT265104</t>
  </si>
  <si>
    <t>FT265105^^</t>
  </si>
  <si>
    <t>M971.2</t>
  </si>
  <si>
    <t>Z780.2</t>
  </si>
  <si>
    <t>rs561417955</t>
  </si>
  <si>
    <t>M12073.2</t>
  </si>
  <si>
    <t>rs567910035</t>
  </si>
  <si>
    <t>MF22677.2</t>
  </si>
  <si>
    <t>P79</t>
  </si>
  <si>
    <t>rs796987209</t>
  </si>
  <si>
    <t>SK1871.2</t>
  </si>
  <si>
    <t>Y103836.2</t>
  </si>
  <si>
    <t>Y134598.2</t>
  </si>
  <si>
    <t>Z29519.2^^</t>
  </si>
  <si>
    <t>FGC36892</t>
  </si>
  <si>
    <t>P315</t>
  </si>
  <si>
    <t>Z41769</t>
  </si>
  <si>
    <t>PLE10.2</t>
  </si>
  <si>
    <t>PR495.2</t>
  </si>
  <si>
    <t>Y11835.2</t>
  </si>
  <si>
    <t>YP4064</t>
  </si>
  <si>
    <t>Z41763</t>
  </si>
  <si>
    <t>Z41764</t>
  </si>
  <si>
    <t>Z41765</t>
  </si>
  <si>
    <t>Z41771</t>
  </si>
  <si>
    <t>Z41773</t>
  </si>
  <si>
    <t>Z41774</t>
  </si>
  <si>
    <t>Z41780</t>
  </si>
  <si>
    <t>Z41784</t>
  </si>
  <si>
    <t>Z41785</t>
  </si>
  <si>
    <t>Z41788</t>
  </si>
  <si>
    <t>Z41790</t>
  </si>
  <si>
    <t>Z41792</t>
  </si>
  <si>
    <t>rs1301365803</t>
  </si>
  <si>
    <t>Z41793</t>
  </si>
  <si>
    <t>Z41794</t>
  </si>
  <si>
    <t>Z41795</t>
  </si>
  <si>
    <t>Z41798</t>
  </si>
  <si>
    <t>Z41801</t>
  </si>
  <si>
    <t>Z41803</t>
  </si>
  <si>
    <t>Z41805</t>
  </si>
  <si>
    <t>Z41806</t>
  </si>
  <si>
    <t>Z41807</t>
  </si>
  <si>
    <t>Z41808</t>
  </si>
  <si>
    <t>Z41809</t>
  </si>
  <si>
    <t>Z41810</t>
  </si>
  <si>
    <t>Z41811</t>
  </si>
  <si>
    <t>Z41812</t>
  </si>
  <si>
    <t>Z41815</t>
  </si>
  <si>
    <t>rs915288360</t>
  </si>
  <si>
    <t>Z41817</t>
  </si>
  <si>
    <t>Z41818</t>
  </si>
  <si>
    <t>Z41820</t>
  </si>
  <si>
    <t>Z41821</t>
  </si>
  <si>
    <t>Z41822</t>
  </si>
  <si>
    <t>Z41826</t>
  </si>
  <si>
    <t>Z41831</t>
  </si>
  <si>
    <t>Z41834</t>
  </si>
  <si>
    <t>Z41836</t>
  </si>
  <si>
    <t>Z41837</t>
  </si>
  <si>
    <t>Z41842</t>
  </si>
  <si>
    <t>Z41843</t>
  </si>
  <si>
    <t>Z41844</t>
  </si>
  <si>
    <t>Z41845</t>
  </si>
  <si>
    <t>Z41847</t>
  </si>
  <si>
    <t>Z41848</t>
  </si>
  <si>
    <t>Z41850</t>
  </si>
  <si>
    <t>Z41852</t>
  </si>
  <si>
    <t>Z41853</t>
  </si>
  <si>
    <t>Z41854</t>
  </si>
  <si>
    <t>Z41857</t>
  </si>
  <si>
    <t>Z41861</t>
  </si>
  <si>
    <t>Z41862</t>
  </si>
  <si>
    <t>rs910804940</t>
  </si>
  <si>
    <t>Z41864</t>
  </si>
  <si>
    <t>Z41867</t>
  </si>
  <si>
    <t>Z41870</t>
  </si>
  <si>
    <t>Z41871</t>
  </si>
  <si>
    <t>Z41872</t>
  </si>
  <si>
    <t>Z41873</t>
  </si>
  <si>
    <t>Z41874</t>
  </si>
  <si>
    <t>Z41876</t>
  </si>
  <si>
    <t>Z41877</t>
  </si>
  <si>
    <t>Z41878</t>
  </si>
  <si>
    <t>Z41880</t>
  </si>
  <si>
    <t>Z41881</t>
  </si>
  <si>
    <t>Z41882</t>
  </si>
  <si>
    <t>Z41888</t>
  </si>
  <si>
    <t>Z41889</t>
  </si>
  <si>
    <t>Z41890</t>
  </si>
  <si>
    <t>Z41891</t>
  </si>
  <si>
    <t>Z41894</t>
  </si>
  <si>
    <t>Z41895</t>
  </si>
  <si>
    <t>Z41897</t>
  </si>
  <si>
    <t>Z41899</t>
  </si>
  <si>
    <t>Z41900</t>
  </si>
  <si>
    <t>Z41901</t>
  </si>
  <si>
    <t>Z41902</t>
  </si>
  <si>
    <t>Z41903</t>
  </si>
  <si>
    <t>Z41904</t>
  </si>
  <si>
    <t>Z41905</t>
  </si>
  <si>
    <t>Z41907</t>
  </si>
  <si>
    <t>Z41908</t>
  </si>
  <si>
    <t>Z41909</t>
  </si>
  <si>
    <t>Z41911</t>
  </si>
  <si>
    <t>Z41912</t>
  </si>
  <si>
    <t>rs987671480</t>
  </si>
  <si>
    <t>Z41913</t>
  </si>
  <si>
    <t>Z41916</t>
  </si>
  <si>
    <t>Z41917</t>
  </si>
  <si>
    <t>Z41918</t>
  </si>
  <si>
    <t>Z41919</t>
  </si>
  <si>
    <t>Z41920</t>
  </si>
  <si>
    <t>Z41921</t>
  </si>
  <si>
    <t>Z41922</t>
  </si>
  <si>
    <t>Z41923</t>
  </si>
  <si>
    <t>Z41924</t>
  </si>
  <si>
    <t>Z41925</t>
  </si>
  <si>
    <t>B275</t>
  </si>
  <si>
    <t>Z33756</t>
  </si>
  <si>
    <t>Z33757</t>
  </si>
  <si>
    <t>rs894114799</t>
  </si>
  <si>
    <t>Z33758</t>
  </si>
  <si>
    <t>Z33759</t>
  </si>
  <si>
    <t>Z41926</t>
  </si>
  <si>
    <t>Z41927</t>
  </si>
  <si>
    <t>Z41928</t>
  </si>
  <si>
    <t>Z41929</t>
  </si>
  <si>
    <t>Z41930</t>
  </si>
  <si>
    <t>SK1806</t>
  </si>
  <si>
    <t>FGC5054</t>
  </si>
  <si>
    <t>rs951594928</t>
  </si>
  <si>
    <t>FGC22541.2</t>
  </si>
  <si>
    <t>FGC43097.2</t>
  </si>
  <si>
    <t>S777.2</t>
  </si>
  <si>
    <t>SK1807</t>
  </si>
  <si>
    <t>SK1809</t>
  </si>
  <si>
    <t>SK1810</t>
  </si>
  <si>
    <t>SK1812</t>
  </si>
  <si>
    <t>SK1813</t>
  </si>
  <si>
    <t>SK1814</t>
  </si>
  <si>
    <t>SK1816</t>
  </si>
  <si>
    <t>SK1819</t>
  </si>
  <si>
    <t>Z42153</t>
  </si>
  <si>
    <t>SK1820</t>
  </si>
  <si>
    <t>Z42020</t>
  </si>
  <si>
    <t>SK1821</t>
  </si>
  <si>
    <t>SK1822</t>
  </si>
  <si>
    <t>SK1824</t>
  </si>
  <si>
    <t>Z41931</t>
  </si>
  <si>
    <t>Z41932</t>
  </si>
  <si>
    <t>Z41933</t>
  </si>
  <si>
    <t>Z41934</t>
  </si>
  <si>
    <t>Z41935</t>
  </si>
  <si>
    <t>Z41936</t>
  </si>
  <si>
    <t>Z41937</t>
  </si>
  <si>
    <t>Z41938</t>
  </si>
  <si>
    <t>Z41939</t>
  </si>
  <si>
    <t>Z41940</t>
  </si>
  <si>
    <t>Z41941</t>
  </si>
  <si>
    <t>Z41942</t>
  </si>
  <si>
    <t>Z41943</t>
  </si>
  <si>
    <t>Z41944</t>
  </si>
  <si>
    <t>Z41945</t>
  </si>
  <si>
    <t>Z41946</t>
  </si>
  <si>
    <t>Z41947</t>
  </si>
  <si>
    <t>Z41948</t>
  </si>
  <si>
    <t>Z41949</t>
  </si>
  <si>
    <t>Z41950</t>
  </si>
  <si>
    <t>Z41951</t>
  </si>
  <si>
    <t>Z41952</t>
  </si>
  <si>
    <t>Z41953</t>
  </si>
  <si>
    <t>Z41954</t>
  </si>
  <si>
    <t>Z41955</t>
  </si>
  <si>
    <t>Z41956</t>
  </si>
  <si>
    <t>Z41957</t>
  </si>
  <si>
    <t>Z41958</t>
  </si>
  <si>
    <t>Z41959</t>
  </si>
  <si>
    <t>Z41960</t>
  </si>
  <si>
    <t>Z41961</t>
  </si>
  <si>
    <t>Z41962</t>
  </si>
  <si>
    <t>Z41963</t>
  </si>
  <si>
    <t>rs1017682082</t>
  </si>
  <si>
    <t>Z41964</t>
  </si>
  <si>
    <t>Z41965</t>
  </si>
  <si>
    <t>Z41966</t>
  </si>
  <si>
    <t>Z41967</t>
  </si>
  <si>
    <t>Z41968</t>
  </si>
  <si>
    <t>Z41969</t>
  </si>
  <si>
    <t>Z41970</t>
  </si>
  <si>
    <t>Z41971</t>
  </si>
  <si>
    <t>Z41972</t>
  </si>
  <si>
    <t>Z41973</t>
  </si>
  <si>
    <t>Z41974</t>
  </si>
  <si>
    <t>Z41975</t>
  </si>
  <si>
    <t>Z41976</t>
  </si>
  <si>
    <t>Z41977</t>
  </si>
  <si>
    <t>Z41978</t>
  </si>
  <si>
    <t>Z41979</t>
  </si>
  <si>
    <t>Z41980</t>
  </si>
  <si>
    <t>rs903388375</t>
  </si>
  <si>
    <t>Z41981</t>
  </si>
  <si>
    <t>Z41982</t>
  </si>
  <si>
    <t>Z41983</t>
  </si>
  <si>
    <t>Z41984</t>
  </si>
  <si>
    <t>Z41985</t>
  </si>
  <si>
    <t>Z41986</t>
  </si>
  <si>
    <t>Z41987</t>
  </si>
  <si>
    <t>Z41988</t>
  </si>
  <si>
    <t>Z41989</t>
  </si>
  <si>
    <t>Z41990</t>
  </si>
  <si>
    <t>Z41991</t>
  </si>
  <si>
    <t>Z41992</t>
  </si>
  <si>
    <t>Z41993</t>
  </si>
  <si>
    <t>Z41994</t>
  </si>
  <si>
    <t>Z41995</t>
  </si>
  <si>
    <t>Z41996</t>
  </si>
  <si>
    <t>Z41997</t>
  </si>
  <si>
    <t>Z41998</t>
  </si>
  <si>
    <t>Z41999</t>
  </si>
  <si>
    <t>Z42000</t>
  </si>
  <si>
    <t>Z42001</t>
  </si>
  <si>
    <t>Z42002</t>
  </si>
  <si>
    <t>Z42003</t>
  </si>
  <si>
    <t>Z42004</t>
  </si>
  <si>
    <t>Z42005</t>
  </si>
  <si>
    <t>Z42006</t>
  </si>
  <si>
    <t>rs888886682</t>
  </si>
  <si>
    <t>Z42007</t>
  </si>
  <si>
    <t>Z42008</t>
  </si>
  <si>
    <t>Z42009</t>
  </si>
  <si>
    <t>rs970408440</t>
  </si>
  <si>
    <t>Z42010</t>
  </si>
  <si>
    <t>Z42011</t>
  </si>
  <si>
    <t>Z42012</t>
  </si>
  <si>
    <t>Z42013</t>
  </si>
  <si>
    <t>Z42014</t>
  </si>
  <si>
    <t>Z42015</t>
  </si>
  <si>
    <t>rs940507490</t>
  </si>
  <si>
    <t>Z42016</t>
  </si>
  <si>
    <t>Z42017</t>
  </si>
  <si>
    <t>Z42018</t>
  </si>
  <si>
    <t>Z42019</t>
  </si>
  <si>
    <t>Z42021</t>
  </si>
  <si>
    <t>Z42022</t>
  </si>
  <si>
    <t>Z42023</t>
  </si>
  <si>
    <t>Z42024</t>
  </si>
  <si>
    <t>Z42025</t>
  </si>
  <si>
    <t>Z42026</t>
  </si>
  <si>
    <t>Z42027</t>
  </si>
  <si>
    <t>Z42028</t>
  </si>
  <si>
    <t>Z42029</t>
  </si>
  <si>
    <t>Z42030</t>
  </si>
  <si>
    <t>Z42031</t>
  </si>
  <si>
    <t>Z42032</t>
  </si>
  <si>
    <t>Z42033</t>
  </si>
  <si>
    <t>Z42034</t>
  </si>
  <si>
    <t>Z42035</t>
  </si>
  <si>
    <t>Z42036</t>
  </si>
  <si>
    <t>Z42037</t>
  </si>
  <si>
    <t>Z42038</t>
  </si>
  <si>
    <t>Z42039</t>
  </si>
  <si>
    <t>Z42040</t>
  </si>
  <si>
    <t>Z42041</t>
  </si>
  <si>
    <t>Z42042</t>
  </si>
  <si>
    <t>Z42043</t>
  </si>
  <si>
    <t>Z42044</t>
  </si>
  <si>
    <t>Z42045</t>
  </si>
  <si>
    <t>Z42046</t>
  </si>
  <si>
    <t>Z42047</t>
  </si>
  <si>
    <t>Z42048</t>
  </si>
  <si>
    <t>Z42049</t>
  </si>
  <si>
    <t>Z42050</t>
  </si>
  <si>
    <t>Z42051</t>
  </si>
  <si>
    <t>Z42052</t>
  </si>
  <si>
    <t>Z42053</t>
  </si>
  <si>
    <t>Z42054</t>
  </si>
  <si>
    <t>Z42055</t>
  </si>
  <si>
    <t>Z42056</t>
  </si>
  <si>
    <t>Z42057</t>
  </si>
  <si>
    <t>Z42058</t>
  </si>
  <si>
    <t>Z42059</t>
  </si>
  <si>
    <t>Z42060</t>
  </si>
  <si>
    <t>Z42061</t>
  </si>
  <si>
    <t>Z42062</t>
  </si>
  <si>
    <t>Z42063</t>
  </si>
  <si>
    <t>Z42064</t>
  </si>
  <si>
    <t>Z42065</t>
  </si>
  <si>
    <t>Z42066</t>
  </si>
  <si>
    <t>Z42067</t>
  </si>
  <si>
    <t>Z42068</t>
  </si>
  <si>
    <t>rs930084119</t>
  </si>
  <si>
    <t>Z42069</t>
  </si>
  <si>
    <t>Z42070</t>
  </si>
  <si>
    <t>Z42071</t>
  </si>
  <si>
    <t>Z42072</t>
  </si>
  <si>
    <t>Z42073</t>
  </si>
  <si>
    <t>rs971894169</t>
  </si>
  <si>
    <t>Z42074</t>
  </si>
  <si>
    <t>Z42075</t>
  </si>
  <si>
    <t>Z42076</t>
  </si>
  <si>
    <t>rs890957250</t>
  </si>
  <si>
    <t>Z42077</t>
  </si>
  <si>
    <t>Z42078</t>
  </si>
  <si>
    <t>Z42079</t>
  </si>
  <si>
    <t>Z42080</t>
  </si>
  <si>
    <t>Z42146</t>
  </si>
  <si>
    <t>Z42147</t>
  </si>
  <si>
    <t>Z42148</t>
  </si>
  <si>
    <t>Z42149</t>
  </si>
  <si>
    <t>Z42150</t>
  </si>
  <si>
    <t>Z42151</t>
  </si>
  <si>
    <t>Z42152</t>
  </si>
  <si>
    <t>Z42154</t>
  </si>
  <si>
    <t>Z42155</t>
  </si>
  <si>
    <t>Z42156</t>
  </si>
  <si>
    <t>Z42157</t>
  </si>
  <si>
    <t>Z42158</t>
  </si>
  <si>
    <t>Z42159</t>
  </si>
  <si>
    <t>Z42160</t>
  </si>
  <si>
    <t>rs1026960205</t>
  </si>
  <si>
    <t>Z42161</t>
  </si>
  <si>
    <t>Z42162</t>
  </si>
  <si>
    <t>Z42163</t>
  </si>
  <si>
    <t>Z42164</t>
  </si>
  <si>
    <t>Z42165</t>
  </si>
  <si>
    <t>Z42166</t>
  </si>
  <si>
    <t>Z42167</t>
  </si>
  <si>
    <t>Z42168</t>
  </si>
  <si>
    <t>Z42169</t>
  </si>
  <si>
    <t>Z42170</t>
  </si>
  <si>
    <t>Z42171</t>
  </si>
  <si>
    <t>Z42172</t>
  </si>
  <si>
    <t>Z42173</t>
  </si>
  <si>
    <t>Z42174</t>
  </si>
  <si>
    <t>Z42175</t>
  </si>
  <si>
    <t>Z42176</t>
  </si>
  <si>
    <t>Z42177</t>
  </si>
  <si>
    <t>Z42178</t>
  </si>
  <si>
    <t>Z42179</t>
  </si>
  <si>
    <t>Z42180</t>
  </si>
  <si>
    <t>Z42181</t>
  </si>
  <si>
    <t>Z42182</t>
  </si>
  <si>
    <t>Z42183</t>
  </si>
  <si>
    <t>Z42184</t>
  </si>
  <si>
    <t>Z42185</t>
  </si>
  <si>
    <t>Z42186</t>
  </si>
  <si>
    <t>Z42187</t>
  </si>
  <si>
    <t>Z42188</t>
  </si>
  <si>
    <t>Z42189</t>
  </si>
  <si>
    <t>rs1024201624</t>
  </si>
  <si>
    <t>Z42190</t>
  </si>
  <si>
    <t>Z42191</t>
  </si>
  <si>
    <t>Z42192</t>
  </si>
  <si>
    <t>Z42193</t>
  </si>
  <si>
    <t>Z42194</t>
  </si>
  <si>
    <t>Z42195</t>
  </si>
  <si>
    <t>Z42196</t>
  </si>
  <si>
    <t>Z42197</t>
  </si>
  <si>
    <t>Z42198</t>
  </si>
  <si>
    <t>Z42199</t>
  </si>
  <si>
    <t>Z42200</t>
  </si>
  <si>
    <t>Z42201</t>
  </si>
  <si>
    <t>Z42202</t>
  </si>
  <si>
    <t>Z42203</t>
  </si>
  <si>
    <t>Z42204</t>
  </si>
  <si>
    <t>Z42205</t>
  </si>
  <si>
    <t>Z42206</t>
  </si>
  <si>
    <t>Z42207</t>
  </si>
  <si>
    <t>Z42208</t>
  </si>
  <si>
    <t>Z42209</t>
  </si>
  <si>
    <t>rs894265409</t>
  </si>
  <si>
    <t>Z42210</t>
  </si>
  <si>
    <t>rs996134943</t>
  </si>
  <si>
    <t>Z42211</t>
  </si>
  <si>
    <t>Z42212</t>
  </si>
  <si>
    <t>Z42213</t>
  </si>
  <si>
    <t>Z42214</t>
  </si>
  <si>
    <t>Z42215</t>
  </si>
  <si>
    <t>Z42216</t>
  </si>
  <si>
    <t>Z42217</t>
  </si>
  <si>
    <t>Z42218</t>
  </si>
  <si>
    <t>Z42219</t>
  </si>
  <si>
    <t>Z42220</t>
  </si>
  <si>
    <t>Z42221</t>
  </si>
  <si>
    <t>Z42222</t>
  </si>
  <si>
    <t>Z42223</t>
  </si>
  <si>
    <t>Z42224</t>
  </si>
  <si>
    <t>Z42225</t>
  </si>
  <si>
    <t>Z42226</t>
  </si>
  <si>
    <t>Z42227</t>
  </si>
  <si>
    <t>Z42228</t>
  </si>
  <si>
    <t>FT61802</t>
  </si>
  <si>
    <t>BY180305</t>
  </si>
  <si>
    <t>FGC63889</t>
  </si>
  <si>
    <t>rs372624452</t>
  </si>
  <si>
    <t>FT60712^^</t>
  </si>
  <si>
    <t>FT61895</t>
  </si>
  <si>
    <t>FT72901^^</t>
  </si>
  <si>
    <t>FT189905</t>
  </si>
  <si>
    <t>P378^^</t>
  </si>
  <si>
    <t>Z33601.1</t>
  </si>
  <si>
    <t>A14785.1</t>
  </si>
  <si>
    <t>B273.2</t>
  </si>
  <si>
    <t>Y15622.2; JN32.2</t>
  </si>
  <si>
    <t>Y15622.2</t>
  </si>
  <si>
    <t>JN32.2; B273.2</t>
  </si>
  <si>
    <t>JN32.2</t>
  </si>
  <si>
    <t>Y15622.2; B273.2</t>
  </si>
  <si>
    <t>Z33356</t>
  </si>
  <si>
    <t>rs983426655</t>
  </si>
  <si>
    <t>Z33357</t>
  </si>
  <si>
    <t>Z33358</t>
  </si>
  <si>
    <t>Z33359</t>
  </si>
  <si>
    <t>Z33360</t>
  </si>
  <si>
    <t>Z33361</t>
  </si>
  <si>
    <t>Z33362</t>
  </si>
  <si>
    <t>Z33363</t>
  </si>
  <si>
    <t>Z33364</t>
  </si>
  <si>
    <t>Z33365</t>
  </si>
  <si>
    <t>Z33366</t>
  </si>
  <si>
    <t>Z33367</t>
  </si>
  <si>
    <t>Z33368</t>
  </si>
  <si>
    <t>Z33369</t>
  </si>
  <si>
    <t>Z33770</t>
  </si>
  <si>
    <t>Z33371</t>
  </si>
  <si>
    <t>Z33372</t>
  </si>
  <si>
    <t>Z33373</t>
  </si>
  <si>
    <t>Z33374</t>
  </si>
  <si>
    <t>Z33375</t>
  </si>
  <si>
    <t>Z33376</t>
  </si>
  <si>
    <t>Z33377</t>
  </si>
  <si>
    <t>Z33378</t>
  </si>
  <si>
    <t>Z33379</t>
  </si>
  <si>
    <t>Z33380</t>
  </si>
  <si>
    <t>Z33381</t>
  </si>
  <si>
    <t>Z33382</t>
  </si>
  <si>
    <t>Z33383</t>
  </si>
  <si>
    <t>Z33384</t>
  </si>
  <si>
    <t>rs759846783</t>
  </si>
  <si>
    <t>Z33385</t>
  </si>
  <si>
    <t>Z33386</t>
  </si>
  <si>
    <t>Z33388</t>
  </si>
  <si>
    <t>Z33389</t>
  </si>
  <si>
    <t>Z33390</t>
  </si>
  <si>
    <t>Z33391</t>
  </si>
  <si>
    <t>Z33392</t>
  </si>
  <si>
    <t>Z33393</t>
  </si>
  <si>
    <t>Z33394</t>
  </si>
  <si>
    <t>rs966520580</t>
  </si>
  <si>
    <t>Z33395</t>
  </si>
  <si>
    <t>Z33396</t>
  </si>
  <si>
    <t>Z33397</t>
  </si>
  <si>
    <t>Z33398</t>
  </si>
  <si>
    <t>Z33399</t>
  </si>
  <si>
    <t>Z33400</t>
  </si>
  <si>
    <t>Z33401</t>
  </si>
  <si>
    <t>Z33402</t>
  </si>
  <si>
    <t>Z33403</t>
  </si>
  <si>
    <t>Z33404</t>
  </si>
  <si>
    <t>Z33405</t>
  </si>
  <si>
    <t>Z33406</t>
  </si>
  <si>
    <t>Z33407</t>
  </si>
  <si>
    <t>Z33408</t>
  </si>
  <si>
    <t>Z33409</t>
  </si>
  <si>
    <t>Z33410</t>
  </si>
  <si>
    <t>Z33411</t>
  </si>
  <si>
    <t>Z33412</t>
  </si>
  <si>
    <t>Z33413</t>
  </si>
  <si>
    <t>Z33414</t>
  </si>
  <si>
    <t>Z33415</t>
  </si>
  <si>
    <t>Z33416</t>
  </si>
  <si>
    <t>Z33417</t>
  </si>
  <si>
    <t>Z33418</t>
  </si>
  <si>
    <t>Z33419</t>
  </si>
  <si>
    <t>Z33420</t>
  </si>
  <si>
    <t>rs1350522043</t>
  </si>
  <si>
    <t>Z33421</t>
  </si>
  <si>
    <t>Z33422</t>
  </si>
  <si>
    <t>Z33423</t>
  </si>
  <si>
    <t>Z33424</t>
  </si>
  <si>
    <t>Z33425</t>
  </si>
  <si>
    <t>Z33426</t>
  </si>
  <si>
    <t>Z33427</t>
  </si>
  <si>
    <t>Z33428</t>
  </si>
  <si>
    <t>Z33429</t>
  </si>
  <si>
    <t>Z33430</t>
  </si>
  <si>
    <t>Z33431</t>
  </si>
  <si>
    <t>Z33432</t>
  </si>
  <si>
    <t>Z33433</t>
  </si>
  <si>
    <t>Z33434</t>
  </si>
  <si>
    <t>Z33435</t>
  </si>
  <si>
    <t>Z33436</t>
  </si>
  <si>
    <t>Z33437</t>
  </si>
  <si>
    <t>Z33438</t>
  </si>
  <si>
    <t>Z33439</t>
  </si>
  <si>
    <t>Z33440</t>
  </si>
  <si>
    <t>rs751703909</t>
  </si>
  <si>
    <t>Z33442</t>
  </si>
  <si>
    <t>Z33444</t>
  </si>
  <si>
    <t>rs865935971</t>
  </si>
  <si>
    <t>Z33446</t>
  </si>
  <si>
    <t>Z33447</t>
  </si>
  <si>
    <t>Z33448</t>
  </si>
  <si>
    <t>Z33453</t>
  </si>
  <si>
    <t>Z33457</t>
  </si>
  <si>
    <t>Z33458</t>
  </si>
  <si>
    <t>Z33460</t>
  </si>
  <si>
    <t>Z33461</t>
  </si>
  <si>
    <t>Z33462</t>
  </si>
  <si>
    <t>Z33463</t>
  </si>
  <si>
    <t>Z33464</t>
  </si>
  <si>
    <t>Z33465</t>
  </si>
  <si>
    <t>Z33466</t>
  </si>
  <si>
    <t>Z33467</t>
  </si>
  <si>
    <t>Z33468</t>
  </si>
  <si>
    <t>Z33469</t>
  </si>
  <si>
    <t>Z33470</t>
  </si>
  <si>
    <t>Z33473</t>
  </si>
  <si>
    <t>Z33475</t>
  </si>
  <si>
    <t>Z33477</t>
  </si>
  <si>
    <t>Z33478</t>
  </si>
  <si>
    <t>Z33479</t>
  </si>
  <si>
    <t>Z33480</t>
  </si>
  <si>
    <t>Z33481</t>
  </si>
  <si>
    <t>Z33482</t>
  </si>
  <si>
    <t>Z33483</t>
  </si>
  <si>
    <t>Z33484</t>
  </si>
  <si>
    <t>Z33485</t>
  </si>
  <si>
    <t>Z33486</t>
  </si>
  <si>
    <t>Z33487</t>
  </si>
  <si>
    <t>Z33488</t>
  </si>
  <si>
    <t>rs1297838393</t>
  </si>
  <si>
    <t>Z33489</t>
  </si>
  <si>
    <t>Z33490</t>
  </si>
  <si>
    <t>Z33491</t>
  </si>
  <si>
    <t>Z33492</t>
  </si>
  <si>
    <t>Z33493</t>
  </si>
  <si>
    <t>Z33494</t>
  </si>
  <si>
    <t>Z33495</t>
  </si>
  <si>
    <t>Z33496</t>
  </si>
  <si>
    <t>Z33497</t>
  </si>
  <si>
    <t>Z33498</t>
  </si>
  <si>
    <t>Z33499</t>
  </si>
  <si>
    <t>Z33500</t>
  </si>
  <si>
    <t>Z33501</t>
  </si>
  <si>
    <t>Z33502</t>
  </si>
  <si>
    <t>rs901480284</t>
  </si>
  <si>
    <t>Z33503</t>
  </si>
  <si>
    <t>Z33504</t>
  </si>
  <si>
    <t>Z33505</t>
  </si>
  <si>
    <t>Z33506</t>
  </si>
  <si>
    <t>Z33507</t>
  </si>
  <si>
    <t>Z33508</t>
  </si>
  <si>
    <t>Z33509</t>
  </si>
  <si>
    <t>Z33510</t>
  </si>
  <si>
    <t>Z33511</t>
  </si>
  <si>
    <t>rs1195335223</t>
  </si>
  <si>
    <t>Z33512</t>
  </si>
  <si>
    <t>Z33513</t>
  </si>
  <si>
    <t>Z33514</t>
  </si>
  <si>
    <t>Z33515</t>
  </si>
  <si>
    <t>Z33516</t>
  </si>
  <si>
    <t>Z33518</t>
  </si>
  <si>
    <t>Z33519</t>
  </si>
  <si>
    <t>Z33520</t>
  </si>
  <si>
    <t>Z33521</t>
  </si>
  <si>
    <t>Z33523</t>
  </si>
  <si>
    <t>Z33524</t>
  </si>
  <si>
    <t>Z33525</t>
  </si>
  <si>
    <t>Z33526</t>
  </si>
  <si>
    <t>Z33527</t>
  </si>
  <si>
    <t>Z33528</t>
  </si>
  <si>
    <t>Z33529</t>
  </si>
  <si>
    <t>Z33531</t>
  </si>
  <si>
    <t>Z33532</t>
  </si>
  <si>
    <t>Z33533</t>
  </si>
  <si>
    <t>Z33534</t>
  </si>
  <si>
    <t>Z33535</t>
  </si>
  <si>
    <t>Z33536</t>
  </si>
  <si>
    <t>Z33537</t>
  </si>
  <si>
    <t>Z33538</t>
  </si>
  <si>
    <t>Z33539</t>
  </si>
  <si>
    <t>Z33540</t>
  </si>
  <si>
    <t>Z33541</t>
  </si>
  <si>
    <t>Z33542</t>
  </si>
  <si>
    <t>Z33543</t>
  </si>
  <si>
    <t>Z33544</t>
  </si>
  <si>
    <t>Z33545</t>
  </si>
  <si>
    <t>Z33546</t>
  </si>
  <si>
    <t>Z33547</t>
  </si>
  <si>
    <t>Z33548</t>
  </si>
  <si>
    <t>Z33549</t>
  </si>
  <si>
    <t>Z33550</t>
  </si>
  <si>
    <t>Z33551</t>
  </si>
  <si>
    <t>Z33552</t>
  </si>
  <si>
    <t>Z33553</t>
  </si>
  <si>
    <t>Z33554</t>
  </si>
  <si>
    <t>Z33555</t>
  </si>
  <si>
    <t>Z33556</t>
  </si>
  <si>
    <t>Z33557</t>
  </si>
  <si>
    <t>Z33558</t>
  </si>
  <si>
    <t>Z33559</t>
  </si>
  <si>
    <t>Z33560</t>
  </si>
  <si>
    <t>Z33561</t>
  </si>
  <si>
    <t>Z33562</t>
  </si>
  <si>
    <t>Z33563</t>
  </si>
  <si>
    <t>Z33564</t>
  </si>
  <si>
    <t>rs1443795408</t>
  </si>
  <si>
    <t>Z33565</t>
  </si>
  <si>
    <t>Z33566</t>
  </si>
  <si>
    <t>Z33567</t>
  </si>
  <si>
    <t>Z33568</t>
  </si>
  <si>
    <t>Z33569</t>
  </si>
  <si>
    <t>Z33570</t>
  </si>
  <si>
    <t>Z33571</t>
  </si>
  <si>
    <t>Z33572</t>
  </si>
  <si>
    <t>Z33573</t>
  </si>
  <si>
    <t>Z33574</t>
  </si>
  <si>
    <t>Z33575</t>
  </si>
  <si>
    <t>Z33576</t>
  </si>
  <si>
    <t>Z33577</t>
  </si>
  <si>
    <t>Z33578</t>
  </si>
  <si>
    <t>Z33579</t>
  </si>
  <si>
    <t>Z33580</t>
  </si>
  <si>
    <t>Z33581</t>
  </si>
  <si>
    <t>Z33583</t>
  </si>
  <si>
    <t>Z33584</t>
  </si>
  <si>
    <t>Z33585</t>
  </si>
  <si>
    <t>Z33586</t>
  </si>
  <si>
    <t>Z33587</t>
  </si>
  <si>
    <t>Z33588</t>
  </si>
  <si>
    <t>Z33589</t>
  </si>
  <si>
    <t>Z33590</t>
  </si>
  <si>
    <t>Z33591</t>
  </si>
  <si>
    <t>Z33592</t>
  </si>
  <si>
    <t>Z33593</t>
  </si>
  <si>
    <t>Z33594</t>
  </si>
  <si>
    <t>Z33597</t>
  </si>
  <si>
    <t>Z33598</t>
  </si>
  <si>
    <t>Z33599</t>
  </si>
  <si>
    <t>Z33602</t>
  </si>
  <si>
    <t>Z33603</t>
  </si>
  <si>
    <t>Z33604</t>
  </si>
  <si>
    <t>Z33605</t>
  </si>
  <si>
    <t>Z33606</t>
  </si>
  <si>
    <t>Z33607</t>
  </si>
  <si>
    <t>Z33608</t>
  </si>
  <si>
    <t>Z33609</t>
  </si>
  <si>
    <t>Z33610</t>
  </si>
  <si>
    <t>Z33611</t>
  </si>
  <si>
    <t>Z33612</t>
  </si>
  <si>
    <t>Z33613</t>
  </si>
  <si>
    <t>Z33614</t>
  </si>
  <si>
    <t>Z33615</t>
  </si>
  <si>
    <t>Z33616</t>
  </si>
  <si>
    <t>Z33617</t>
  </si>
  <si>
    <t>Z33618</t>
  </si>
  <si>
    <t>Z33619</t>
  </si>
  <si>
    <t>rs748177756</t>
  </si>
  <si>
    <t>Z33620</t>
  </si>
  <si>
    <t>Z33621</t>
  </si>
  <si>
    <t>Z33622</t>
  </si>
  <si>
    <t>Z33624</t>
  </si>
  <si>
    <t>Z33626</t>
  </si>
  <si>
    <t>Z33627</t>
  </si>
  <si>
    <t>Z33628</t>
  </si>
  <si>
    <t>Z33629</t>
  </si>
  <si>
    <t>rs939702904</t>
  </si>
  <si>
    <t>Z33630</t>
  </si>
  <si>
    <t>Z33631</t>
  </si>
  <si>
    <t>Z33632</t>
  </si>
  <si>
    <t>Z33633</t>
  </si>
  <si>
    <t>Z33634</t>
  </si>
  <si>
    <t>Z33636</t>
  </si>
  <si>
    <t>Z33637</t>
  </si>
  <si>
    <t>Z33638</t>
  </si>
  <si>
    <t>Z33639</t>
  </si>
  <si>
    <t>Z33640</t>
  </si>
  <si>
    <t>Z33641</t>
  </si>
  <si>
    <t>Z33642</t>
  </si>
  <si>
    <t>Z33643</t>
  </si>
  <si>
    <t>Z33644</t>
  </si>
  <si>
    <t>Z33645</t>
  </si>
  <si>
    <t>Z33646</t>
  </si>
  <si>
    <t>Z33648</t>
  </si>
  <si>
    <t>Z33649</t>
  </si>
  <si>
    <t>Z33650</t>
  </si>
  <si>
    <t>Z33651</t>
  </si>
  <si>
    <t>Z33652</t>
  </si>
  <si>
    <t>Z33653</t>
  </si>
  <si>
    <t>Z33654</t>
  </si>
  <si>
    <t>Z33655</t>
  </si>
  <si>
    <t>Z33656</t>
  </si>
  <si>
    <t>Z33658</t>
  </si>
  <si>
    <t>Z33659</t>
  </si>
  <si>
    <t>Z33660</t>
  </si>
  <si>
    <t>Z33662</t>
  </si>
  <si>
    <t>Z33664</t>
  </si>
  <si>
    <t>Z33665</t>
  </si>
  <si>
    <t>Z33666</t>
  </si>
  <si>
    <t>Z33667</t>
  </si>
  <si>
    <t>Z33668</t>
  </si>
  <si>
    <t>Z33669</t>
  </si>
  <si>
    <t>Z33670</t>
  </si>
  <si>
    <t>Z33671</t>
  </si>
  <si>
    <t>Z33672</t>
  </si>
  <si>
    <t>Z33673</t>
  </si>
  <si>
    <t>Z33674</t>
  </si>
  <si>
    <t>Z33675</t>
  </si>
  <si>
    <t>Z33676</t>
  </si>
  <si>
    <t>Z33677</t>
  </si>
  <si>
    <t>Z33678</t>
  </si>
  <si>
    <t>Z33679</t>
  </si>
  <si>
    <t>Z33680</t>
  </si>
  <si>
    <t>Z33681</t>
  </si>
  <si>
    <t>Z33682</t>
  </si>
  <si>
    <t>Z33683</t>
  </si>
  <si>
    <t>Z33684</t>
  </si>
  <si>
    <t>Z33685</t>
  </si>
  <si>
    <t>Z33686</t>
  </si>
  <si>
    <t>Z33687</t>
  </si>
  <si>
    <t>Z33688</t>
  </si>
  <si>
    <t>Z33689</t>
  </si>
  <si>
    <t>Z33690</t>
  </si>
  <si>
    <t>Z33691</t>
  </si>
  <si>
    <t>Z33692</t>
  </si>
  <si>
    <t>Z33693</t>
  </si>
  <si>
    <t>Z33694</t>
  </si>
  <si>
    <t>Z33696</t>
  </si>
  <si>
    <t>Z33697</t>
  </si>
  <si>
    <t>Z33698</t>
  </si>
  <si>
    <t>Z33700</t>
  </si>
  <si>
    <t>Z33701</t>
  </si>
  <si>
    <t>Z33702</t>
  </si>
  <si>
    <t>Z33703</t>
  </si>
  <si>
    <t>Z33704</t>
  </si>
  <si>
    <t>Z33705</t>
  </si>
  <si>
    <t>Z33706</t>
  </si>
  <si>
    <t>Z33707</t>
  </si>
  <si>
    <t>Z33708</t>
  </si>
  <si>
    <t>Z33709</t>
  </si>
  <si>
    <t>Z33710</t>
  </si>
  <si>
    <t>Z33711</t>
  </si>
  <si>
    <t>Z33712</t>
  </si>
  <si>
    <t>Z33713</t>
  </si>
  <si>
    <t>Z33714</t>
  </si>
  <si>
    <t>Z33715</t>
  </si>
  <si>
    <t>Z33716</t>
  </si>
  <si>
    <t>Z33717</t>
  </si>
  <si>
    <t>Z33719</t>
  </si>
  <si>
    <t>Z33721</t>
  </si>
  <si>
    <t>Z33722</t>
  </si>
  <si>
    <t>Z33723</t>
  </si>
  <si>
    <t>Z33724</t>
  </si>
  <si>
    <t>rs890052257</t>
  </si>
  <si>
    <t>Z33725</t>
  </si>
  <si>
    <t>Z33726</t>
  </si>
  <si>
    <t>Z33727</t>
  </si>
  <si>
    <t>Z33728</t>
  </si>
  <si>
    <t>Z33729</t>
  </si>
  <si>
    <t>Z33737</t>
  </si>
  <si>
    <t>Z33739</t>
  </si>
  <si>
    <t>B276</t>
  </si>
  <si>
    <t>Z33744</t>
  </si>
  <si>
    <t>Z33746</t>
  </si>
  <si>
    <t>Z33747</t>
  </si>
  <si>
    <t>Z33748</t>
  </si>
  <si>
    <t>Z33750</t>
  </si>
  <si>
    <t>Z33751</t>
  </si>
  <si>
    <t>Z41332</t>
  </si>
  <si>
    <t>Z41333</t>
  </si>
  <si>
    <t>rs13304043</t>
  </si>
  <si>
    <t>BY20008</t>
  </si>
  <si>
    <t>BY20016</t>
  </si>
  <si>
    <t>BY20017</t>
  </si>
  <si>
    <t>BY54227</t>
  </si>
  <si>
    <t>BY61045</t>
  </si>
  <si>
    <t>BY62222</t>
  </si>
  <si>
    <t>BY63975</t>
  </si>
  <si>
    <t>BY67609</t>
  </si>
  <si>
    <t>BY68821</t>
  </si>
  <si>
    <t>BY69867</t>
  </si>
  <si>
    <t>BY70643</t>
  </si>
  <si>
    <t>BY74082</t>
  </si>
  <si>
    <t>BY75553</t>
  </si>
  <si>
    <t>BY76442</t>
  </si>
  <si>
    <t>BY76842^^</t>
  </si>
  <si>
    <t>BY77241^^</t>
  </si>
  <si>
    <t>BY78473^^</t>
  </si>
  <si>
    <t>BY78698^^</t>
  </si>
  <si>
    <t>BY86474^^</t>
  </si>
  <si>
    <t>BY86719^^</t>
  </si>
  <si>
    <t>BY87491</t>
  </si>
  <si>
    <t>BY87517</t>
  </si>
  <si>
    <t>rs1022561708</t>
  </si>
  <si>
    <t>BY87981</t>
  </si>
  <si>
    <t>BY88543^^</t>
  </si>
  <si>
    <t>BY88811^^</t>
  </si>
  <si>
    <t>BY89543^^</t>
  </si>
  <si>
    <t>BY89590^^</t>
  </si>
  <si>
    <t>BY90704</t>
  </si>
  <si>
    <t>BY91764^^</t>
  </si>
  <si>
    <t>BY92052^^</t>
  </si>
  <si>
    <t>BY95764</t>
  </si>
  <si>
    <t>BY104610</t>
  </si>
  <si>
    <t>BY104975</t>
  </si>
  <si>
    <t>BY105513^^</t>
  </si>
  <si>
    <t>BY106099</t>
  </si>
  <si>
    <t>BY109992</t>
  </si>
  <si>
    <t>BY111391</t>
  </si>
  <si>
    <t>BY114463</t>
  </si>
  <si>
    <t>BY115210</t>
  </si>
  <si>
    <t>BY118110</t>
  </si>
  <si>
    <t>BY140989</t>
  </si>
  <si>
    <t>BY147353^^</t>
  </si>
  <si>
    <t>BY149111</t>
  </si>
  <si>
    <t>BY155959</t>
  </si>
  <si>
    <t>BY156225</t>
  </si>
  <si>
    <t>F15782</t>
  </si>
  <si>
    <t>rs766191206</t>
  </si>
  <si>
    <t>S9697.2</t>
  </si>
  <si>
    <t>rs1033180729</t>
  </si>
  <si>
    <t>S17615</t>
  </si>
  <si>
    <t>rs939014727</t>
  </si>
  <si>
    <t>Y81259</t>
  </si>
  <si>
    <t>Y81301</t>
  </si>
  <si>
    <t>Y81565</t>
  </si>
  <si>
    <t>Y81941</t>
  </si>
  <si>
    <t>rs28884195</t>
  </si>
  <si>
    <t>Y82366</t>
  </si>
  <si>
    <t>Y82650</t>
  </si>
  <si>
    <t>Y83094</t>
  </si>
  <si>
    <t>rs980357567</t>
  </si>
  <si>
    <t>Y83180</t>
  </si>
  <si>
    <t>Y83279</t>
  </si>
  <si>
    <t>Y83489</t>
  </si>
  <si>
    <t>Y83492</t>
  </si>
  <si>
    <t>Y83609</t>
  </si>
  <si>
    <t>Y83763</t>
  </si>
  <si>
    <t>Y83979</t>
  </si>
  <si>
    <t>Y84065</t>
  </si>
  <si>
    <t>Y84167</t>
  </si>
  <si>
    <t>Y84168</t>
  </si>
  <si>
    <t>Y84224</t>
  </si>
  <si>
    <t>Y84368</t>
  </si>
  <si>
    <t>Y84471</t>
  </si>
  <si>
    <t>Y84898</t>
  </si>
  <si>
    <t>Y84958</t>
  </si>
  <si>
    <t>Y84978</t>
  </si>
  <si>
    <t>Y85011</t>
  </si>
  <si>
    <t>Y85033</t>
  </si>
  <si>
    <t>Y85065</t>
  </si>
  <si>
    <t>Y85099</t>
  </si>
  <si>
    <t>Y85418</t>
  </si>
  <si>
    <t>Y85478</t>
  </si>
  <si>
    <t>Y85773</t>
  </si>
  <si>
    <t>Y85888</t>
  </si>
  <si>
    <t>Y85910</t>
  </si>
  <si>
    <t>Y86043</t>
  </si>
  <si>
    <t>Y86056</t>
  </si>
  <si>
    <t>Y86182</t>
  </si>
  <si>
    <t>Y86259</t>
  </si>
  <si>
    <t>Y86463</t>
  </si>
  <si>
    <t>Y86729</t>
  </si>
  <si>
    <t>Y86782</t>
  </si>
  <si>
    <t>Y86898</t>
  </si>
  <si>
    <t>Y87095</t>
  </si>
  <si>
    <t>Y87148</t>
  </si>
  <si>
    <t>Y87156</t>
  </si>
  <si>
    <t>rs750459394</t>
  </si>
  <si>
    <t>Y87412</t>
  </si>
  <si>
    <t>Y87461</t>
  </si>
  <si>
    <t>Y87607</t>
  </si>
  <si>
    <t>Y87644</t>
  </si>
  <si>
    <t>Y87879</t>
  </si>
  <si>
    <t>Y88188</t>
  </si>
  <si>
    <t>Y88274</t>
  </si>
  <si>
    <t>Y88278</t>
  </si>
  <si>
    <t>Y88365^^</t>
  </si>
  <si>
    <t>Y88451^^</t>
  </si>
  <si>
    <t>Y88474</t>
  </si>
  <si>
    <t>Y88670</t>
  </si>
  <si>
    <t>Y88779</t>
  </si>
  <si>
    <t>Y88855</t>
  </si>
  <si>
    <t>Y88981</t>
  </si>
  <si>
    <t>Y89419</t>
  </si>
  <si>
    <t>Y89509</t>
  </si>
  <si>
    <t>Y89537</t>
  </si>
  <si>
    <t>Y89834</t>
  </si>
  <si>
    <t>Y89859^^</t>
  </si>
  <si>
    <t>Y90243</t>
  </si>
  <si>
    <t>Y90374</t>
  </si>
  <si>
    <t>Y90437</t>
  </si>
  <si>
    <t>Y90699</t>
  </si>
  <si>
    <t>Y91125</t>
  </si>
  <si>
    <t>Y91175</t>
  </si>
  <si>
    <t>Y91234</t>
  </si>
  <si>
    <t>Y91832^^</t>
  </si>
  <si>
    <t>Y91929</t>
  </si>
  <si>
    <t>Y92031</t>
  </si>
  <si>
    <t>Y92186</t>
  </si>
  <si>
    <t>Y92288</t>
  </si>
  <si>
    <t>Y92679</t>
  </si>
  <si>
    <t>Y92853</t>
  </si>
  <si>
    <t>Y93072</t>
  </si>
  <si>
    <t>Y93176</t>
  </si>
  <si>
    <t>Y93178</t>
  </si>
  <si>
    <t>Y93325</t>
  </si>
  <si>
    <t>Y93333</t>
  </si>
  <si>
    <t>Y93352</t>
  </si>
  <si>
    <t>Y93383</t>
  </si>
  <si>
    <t>rs921729208</t>
  </si>
  <si>
    <t>Y93587</t>
  </si>
  <si>
    <t>Y93685</t>
  </si>
  <si>
    <t>Y93922</t>
  </si>
  <si>
    <t>Y94065</t>
  </si>
  <si>
    <t>Y94192</t>
  </si>
  <si>
    <t>Y94318</t>
  </si>
  <si>
    <t>Y94509</t>
  </si>
  <si>
    <t>Y94607</t>
  </si>
  <si>
    <t>Y94668</t>
  </si>
  <si>
    <t>Y94715</t>
  </si>
  <si>
    <t>Y94773</t>
  </si>
  <si>
    <t>Y95099</t>
  </si>
  <si>
    <t>Y95146</t>
  </si>
  <si>
    <t>Y95225</t>
  </si>
  <si>
    <t>Y95384^^</t>
  </si>
  <si>
    <t>Y95488</t>
  </si>
  <si>
    <t>Y95740</t>
  </si>
  <si>
    <t>Y96014</t>
  </si>
  <si>
    <t>Y96370</t>
  </si>
  <si>
    <t>Y96372</t>
  </si>
  <si>
    <t>Y96572</t>
  </si>
  <si>
    <t>Y96603</t>
  </si>
  <si>
    <t>Y96739</t>
  </si>
  <si>
    <t>Y96985</t>
  </si>
  <si>
    <t>Y97044</t>
  </si>
  <si>
    <t>Y97045</t>
  </si>
  <si>
    <t>Y97046</t>
  </si>
  <si>
    <t>Y97263</t>
  </si>
  <si>
    <t>Y97565</t>
  </si>
  <si>
    <t>Y97704</t>
  </si>
  <si>
    <t>Y97782</t>
  </si>
  <si>
    <t>Y97831</t>
  </si>
  <si>
    <t>Y98126</t>
  </si>
  <si>
    <t>Y98138</t>
  </si>
  <si>
    <t>Y98166</t>
  </si>
  <si>
    <t>Y98338</t>
  </si>
  <si>
    <t>Y98681</t>
  </si>
  <si>
    <t>Y98813</t>
  </si>
  <si>
    <t>Y98892</t>
  </si>
  <si>
    <t>Y98899</t>
  </si>
  <si>
    <t>Y99043</t>
  </si>
  <si>
    <t>Y99185</t>
  </si>
  <si>
    <t>Y99313</t>
  </si>
  <si>
    <t>Y99387</t>
  </si>
  <si>
    <t>Y99509</t>
  </si>
  <si>
    <t>Y99676</t>
  </si>
  <si>
    <t>rs759919331</t>
  </si>
  <si>
    <t>Y99728</t>
  </si>
  <si>
    <t>Y99908</t>
  </si>
  <si>
    <t>Y100035</t>
  </si>
  <si>
    <t>Y100113</t>
  </si>
  <si>
    <t>Y100157</t>
  </si>
  <si>
    <t>Y100213</t>
  </si>
  <si>
    <t>Y100368</t>
  </si>
  <si>
    <t>Y100451</t>
  </si>
  <si>
    <t>Y100455</t>
  </si>
  <si>
    <t>Y100469^^</t>
  </si>
  <si>
    <t>Y100482</t>
  </si>
  <si>
    <t>Y100619</t>
  </si>
  <si>
    <t>Y100646</t>
  </si>
  <si>
    <t>Y100695</t>
  </si>
  <si>
    <t>Y100702</t>
  </si>
  <si>
    <t>Y100758</t>
  </si>
  <si>
    <t>Y100861</t>
  </si>
  <si>
    <t>Y101104</t>
  </si>
  <si>
    <t>rs755432461</t>
  </si>
  <si>
    <t>Y101126</t>
  </si>
  <si>
    <t>Y101131</t>
  </si>
  <si>
    <t>Y101455</t>
  </si>
  <si>
    <t>Y101470</t>
  </si>
  <si>
    <t>Y101714</t>
  </si>
  <si>
    <t>Y101835</t>
  </si>
  <si>
    <t>Y101997</t>
  </si>
  <si>
    <t>Y102171</t>
  </si>
  <si>
    <t>Y102270</t>
  </si>
  <si>
    <t>Y102298</t>
  </si>
  <si>
    <t>Y102337</t>
  </si>
  <si>
    <t>Y102388</t>
  </si>
  <si>
    <t>Y102496</t>
  </si>
  <si>
    <t>Y102532</t>
  </si>
  <si>
    <t>Y102572</t>
  </si>
  <si>
    <t>Y102869</t>
  </si>
  <si>
    <t>Y103066</t>
  </si>
  <si>
    <t>Y103258</t>
  </si>
  <si>
    <t>Y103505</t>
  </si>
  <si>
    <t>Y103593</t>
  </si>
  <si>
    <t>Y103749</t>
  </si>
  <si>
    <t>Y104127</t>
  </si>
  <si>
    <t>Y104137</t>
  </si>
  <si>
    <t>Y104682</t>
  </si>
  <si>
    <t>Y104683</t>
  </si>
  <si>
    <t>Y104959</t>
  </si>
  <si>
    <t>Y104997</t>
  </si>
  <si>
    <t>Y105368</t>
  </si>
  <si>
    <t>Y105375</t>
  </si>
  <si>
    <t>Y105383</t>
  </si>
  <si>
    <t>Y105513</t>
  </si>
  <si>
    <t>Y105628</t>
  </si>
  <si>
    <t>Y105738</t>
  </si>
  <si>
    <t>Y106085</t>
  </si>
  <si>
    <t>Y106165</t>
  </si>
  <si>
    <t>Y106168</t>
  </si>
  <si>
    <t>Y106310</t>
  </si>
  <si>
    <t>Y106608</t>
  </si>
  <si>
    <t>Y106650</t>
  </si>
  <si>
    <t>Y107210</t>
  </si>
  <si>
    <t>Y107217</t>
  </si>
  <si>
    <t>Y107268</t>
  </si>
  <si>
    <t>Y107411</t>
  </si>
  <si>
    <t>Y107521</t>
  </si>
  <si>
    <t>Y107568</t>
  </si>
  <si>
    <t>Y107938</t>
  </si>
  <si>
    <t>Y107944</t>
  </si>
  <si>
    <t>Y107946</t>
  </si>
  <si>
    <t>Y108151</t>
  </si>
  <si>
    <t>Y108206</t>
  </si>
  <si>
    <t>Y108526</t>
  </si>
  <si>
    <t>Y108597</t>
  </si>
  <si>
    <t>Y108902</t>
  </si>
  <si>
    <t>Y108906</t>
  </si>
  <si>
    <t>Y108921</t>
  </si>
  <si>
    <t>Y109148</t>
  </si>
  <si>
    <t>Y109222</t>
  </si>
  <si>
    <t>Y109329</t>
  </si>
  <si>
    <t>Y109723</t>
  </si>
  <si>
    <t>Y109774</t>
  </si>
  <si>
    <t>Y110032</t>
  </si>
  <si>
    <t>Y110295</t>
  </si>
  <si>
    <t>Y110686</t>
  </si>
  <si>
    <t>Y110806</t>
  </si>
  <si>
    <t>Y111208</t>
  </si>
  <si>
    <t>Y111239</t>
  </si>
  <si>
    <t>Y111735</t>
  </si>
  <si>
    <t>Y111736</t>
  </si>
  <si>
    <t>Y111796</t>
  </si>
  <si>
    <t>Y111902</t>
  </si>
  <si>
    <t>Y111903</t>
  </si>
  <si>
    <t>Y112031</t>
  </si>
  <si>
    <t>Y112259^^</t>
  </si>
  <si>
    <t>Y112309^^</t>
  </si>
  <si>
    <t>Y112325^^</t>
  </si>
  <si>
    <t>Z36058.2</t>
  </si>
  <si>
    <t>rs775398998</t>
  </si>
  <si>
    <t>Z39050.2</t>
  </si>
</sst>
</file>

<file path=xl/styles.xml><?xml version="1.0" encoding="utf-8"?>
<styleSheet xmlns="http://schemas.openxmlformats.org/spreadsheetml/2006/main" xmlns:x14ac="http://schemas.microsoft.com/office/spreadsheetml/2009/9/ac" xmlns:mc="http://schemas.openxmlformats.org/markup-compatibility/2006">
  <fonts count="41">
    <font>
      <sz val="10.0"/>
      <color rgb="FF000000"/>
      <name val="Arial"/>
    </font>
    <font>
      <name val="Arial"/>
    </font>
    <font>
      <b/>
      <sz val="24.0"/>
      <color rgb="FF000000"/>
      <name val="Times New Roman"/>
    </font>
    <font>
      <b/>
      <i/>
      <color rgb="FFE06666"/>
      <name val="Arial"/>
    </font>
    <font>
      <u/>
      <sz val="12.0"/>
      <color rgb="FF0000FF"/>
      <name val="Times New Roman"/>
    </font>
    <font>
      <sz val="12.0"/>
      <name val="Times New Roman"/>
    </font>
    <font>
      <u/>
      <sz val="12.0"/>
      <color rgb="FF0066CC"/>
      <name val="Times New Roman"/>
    </font>
    <font>
      <sz val="12.0"/>
      <color rgb="FF000000"/>
      <name val="Times New Roman"/>
    </font>
    <font>
      <u/>
      <sz val="12.0"/>
      <color rgb="FF0066CC"/>
      <name val="Times New Roman"/>
    </font>
    <font>
      <b/>
      <sz val="12.0"/>
      <name val="Times New Roman"/>
    </font>
    <font>
      <u/>
      <sz val="12.0"/>
      <color rgb="FF0000FF"/>
      <name val="Times New Roman"/>
    </font>
    <font>
      <u/>
      <sz val="12.0"/>
      <color rgb="FF0066CC"/>
      <name val="Times New Roman"/>
    </font>
    <font>
      <name val="Times New Roman"/>
    </font>
    <font>
      <u/>
      <sz val="12.0"/>
      <color rgb="FF0066CC"/>
      <name val="Times New Roman"/>
    </font>
    <font>
      <u/>
      <sz val="12.0"/>
      <color rgb="FF1155CC"/>
      <name val="Times New Roman"/>
    </font>
    <font>
      <b/>
      <sz val="12.0"/>
      <color rgb="FF000000"/>
      <name val="Times New Roman"/>
    </font>
    <font>
      <sz val="12.0"/>
      <color rgb="FFCC0000"/>
      <name val="Times New Roman"/>
    </font>
    <font>
      <sz val="12.0"/>
      <color rgb="FF999999"/>
      <name val="Times New Roman"/>
    </font>
    <font/>
    <font>
      <sz val="10.0"/>
      <color rgb="FFFFFFFF"/>
      <name val="Arial"/>
    </font>
    <font>
      <i/>
    </font>
    <font>
      <b/>
      <i/>
    </font>
    <font>
      <color rgb="FFFFFFFF"/>
    </font>
    <font>
      <color rgb="FF999999"/>
    </font>
    <font>
      <b/>
    </font>
    <font>
      <color rgb="FFB45F06"/>
    </font>
    <font>
      <i/>
      <color rgb="FF999999"/>
    </font>
    <font>
      <u/>
      <sz val="12.0"/>
      <color rgb="FF1155CC"/>
      <name val="Times New Roman"/>
    </font>
    <font>
      <color rgb="FF1155CC"/>
    </font>
    <font>
      <u/>
      <sz val="12.0"/>
      <color rgb="FF1155CC"/>
      <name val="Times New Roman"/>
    </font>
    <font>
      <color rgb="FF000000"/>
      <name val="Arial"/>
    </font>
    <font>
      <u/>
      <sz val="12.0"/>
      <color rgb="FF0066CC"/>
      <name val="Times New Roman"/>
    </font>
    <font>
      <u/>
      <sz val="12.0"/>
      <color rgb="FF0066CC"/>
      <name val="Times New Roman"/>
    </font>
    <font>
      <b/>
      <sz val="12.0"/>
    </font>
    <font>
      <b/>
      <sz val="12.0"/>
      <name val="Arial"/>
    </font>
    <font>
      <color rgb="FFCC0000"/>
      <name val="Arial"/>
    </font>
    <font>
      <sz val="11.0"/>
      <color rgb="FF000000"/>
      <name val="Calibri"/>
    </font>
    <font>
      <sz val="11.0"/>
      <name val="Calibri"/>
    </font>
    <font>
      <sz val="10.0"/>
      <name val="Arial"/>
    </font>
    <font>
      <sz val="12.0"/>
      <name val="&quot;Calibri&quot;"/>
    </font>
    <font>
      <sz val="11.0"/>
      <color rgb="FF000000"/>
      <name val="&amp;quot"/>
    </font>
  </fonts>
  <fills count="10">
    <fill>
      <patternFill patternType="none"/>
    </fill>
    <fill>
      <patternFill patternType="lightGray"/>
    </fill>
    <fill>
      <patternFill patternType="solid">
        <fgColor rgb="FFE6B8AF"/>
        <bgColor rgb="FFE6B8AF"/>
      </patternFill>
    </fill>
    <fill>
      <patternFill patternType="solid">
        <fgColor rgb="FFD9EAD3"/>
        <bgColor rgb="FFD9EAD3"/>
      </patternFill>
    </fill>
    <fill>
      <patternFill patternType="solid">
        <fgColor rgb="FF339999"/>
        <bgColor rgb="FF339999"/>
      </patternFill>
    </fill>
    <fill>
      <patternFill patternType="solid">
        <fgColor rgb="FFCCCCCC"/>
        <bgColor rgb="FFCCCCCC"/>
      </patternFill>
    </fill>
    <fill>
      <patternFill patternType="solid">
        <fgColor rgb="FFFFE599"/>
        <bgColor rgb="FFFFE599"/>
      </patternFill>
    </fill>
    <fill>
      <patternFill patternType="solid">
        <fgColor rgb="FFFFFFFF"/>
        <bgColor rgb="FFFFFFFF"/>
      </patternFill>
    </fill>
    <fill>
      <patternFill patternType="solid">
        <fgColor rgb="FFF1C232"/>
        <bgColor rgb="FFF1C232"/>
      </patternFill>
    </fill>
    <fill>
      <patternFill patternType="solid">
        <fgColor rgb="FFF9F9F9"/>
        <bgColor rgb="FFF9F9F9"/>
      </patternFill>
    </fill>
  </fills>
  <borders count="7">
    <border/>
    <border>
      <left style="thin">
        <color rgb="FFCC0000"/>
      </left>
      <right style="thin">
        <color rgb="FFCC0000"/>
      </right>
      <top style="thin">
        <color rgb="FFCC0000"/>
      </top>
      <bottom style="thin">
        <color rgb="FFCC0000"/>
      </bottom>
    </border>
    <border>
      <right/>
    </border>
    <border>
      <bottom style="thin">
        <color rgb="FFD9D9D9"/>
      </bottom>
    </border>
    <border>
      <right style="thin">
        <color rgb="FFD9D9D9"/>
      </right>
    </border>
    <border>
      <left style="thin">
        <color rgb="FFFFFFFF"/>
      </left>
      <right style="thin">
        <color rgb="FFFFFFFF"/>
      </right>
      <top style="thin">
        <color rgb="FFFFFFFF"/>
      </top>
      <bottom style="thin">
        <color rgb="FFFFFFFF"/>
      </bottom>
    </border>
    <border>
      <left style="thin">
        <color rgb="FFF3F3F3"/>
      </left>
      <right style="thin">
        <color rgb="FFF3F3F3"/>
      </right>
      <top style="thin">
        <color rgb="FFF3F3F3"/>
      </top>
      <bottom style="thin">
        <color rgb="FFF3F3F3"/>
      </bottom>
    </border>
  </borders>
  <cellStyleXfs count="1">
    <xf borderId="0" fillId="0" fontId="0" numFmtId="0" applyAlignment="1" applyFont="1"/>
  </cellStyleXfs>
  <cellXfs count="100">
    <xf borderId="0" fillId="0" fontId="0" numFmtId="0" xfId="0" applyAlignment="1" applyFont="1">
      <alignment readingOrder="0" shrinkToFit="0" vertical="bottom" wrapText="0"/>
    </xf>
    <xf borderId="0" fillId="0" fontId="1" numFmtId="0" xfId="0" applyAlignment="1" applyFont="1">
      <alignment vertical="bottom"/>
    </xf>
    <xf borderId="0" fillId="2" fontId="2" numFmtId="0" xfId="0" applyAlignment="1" applyFill="1" applyFont="1">
      <alignment horizontal="center" readingOrder="0" vertical="bottom"/>
    </xf>
    <xf borderId="1" fillId="0" fontId="3" numFmtId="0" xfId="0" applyAlignment="1" applyBorder="1" applyFont="1">
      <alignment readingOrder="0" shrinkToFit="0" vertical="bottom" wrapText="0"/>
    </xf>
    <xf borderId="1" fillId="0" fontId="1" numFmtId="0" xfId="0" applyAlignment="1" applyBorder="1" applyFont="1">
      <alignment vertical="bottom"/>
    </xf>
    <xf borderId="2" fillId="0" fontId="1" numFmtId="0" xfId="0" applyAlignment="1" applyBorder="1" applyFont="1">
      <alignment vertical="bottom"/>
    </xf>
    <xf borderId="2" fillId="0" fontId="1" numFmtId="0" xfId="0" applyAlignment="1" applyBorder="1" applyFont="1">
      <alignment shrinkToFit="0" vertical="bottom" wrapText="0"/>
    </xf>
    <xf borderId="0" fillId="0" fontId="4" numFmtId="0" xfId="0" applyAlignment="1" applyFont="1">
      <alignment readingOrder="0" vertical="bottom"/>
    </xf>
    <xf borderId="0" fillId="0" fontId="5" numFmtId="0" xfId="0" applyAlignment="1" applyFont="1">
      <alignment vertical="bottom"/>
    </xf>
    <xf borderId="2" fillId="0" fontId="6" numFmtId="0" xfId="0" applyAlignment="1" applyBorder="1" applyFont="1">
      <alignment horizontal="center" shrinkToFit="0" vertical="bottom" wrapText="0"/>
    </xf>
    <xf borderId="2" fillId="0" fontId="7" numFmtId="0" xfId="0" applyAlignment="1" applyBorder="1" applyFont="1">
      <alignment horizontal="center" readingOrder="0" shrinkToFit="0" vertical="bottom" wrapText="0"/>
    </xf>
    <xf borderId="0" fillId="3" fontId="5" numFmtId="0" xfId="0" applyAlignment="1" applyFill="1" applyFont="1">
      <alignment readingOrder="0" vertical="bottom"/>
    </xf>
    <xf borderId="2" fillId="3" fontId="7" numFmtId="0" xfId="0" applyAlignment="1" applyBorder="1" applyFont="1">
      <alignment readingOrder="0" shrinkToFit="0" vertical="bottom" wrapText="0"/>
    </xf>
    <xf borderId="2" fillId="3" fontId="1" numFmtId="0" xfId="0" applyAlignment="1" applyBorder="1" applyFont="1">
      <alignment vertical="bottom"/>
    </xf>
    <xf borderId="0" fillId="3" fontId="1" numFmtId="0" xfId="0" applyAlignment="1" applyFont="1">
      <alignment vertical="bottom"/>
    </xf>
    <xf borderId="2" fillId="0" fontId="8" numFmtId="0" xfId="0" applyAlignment="1" applyBorder="1" applyFont="1">
      <alignment shrinkToFit="0" vertical="bottom" wrapText="0"/>
    </xf>
    <xf borderId="2" fillId="0" fontId="9" numFmtId="0" xfId="0" applyAlignment="1" applyBorder="1" applyFont="1">
      <alignment shrinkToFit="0" vertical="bottom" wrapText="0"/>
    </xf>
    <xf borderId="2" fillId="0" fontId="10" numFmtId="0" xfId="0" applyAlignment="1" applyBorder="1" applyFont="1">
      <alignment shrinkToFit="0" vertical="bottom" wrapText="0"/>
    </xf>
    <xf borderId="2" fillId="0" fontId="5" numFmtId="0" xfId="0" applyAlignment="1" applyBorder="1" applyFont="1">
      <alignment vertical="bottom"/>
    </xf>
    <xf borderId="2" fillId="0" fontId="11" numFmtId="0" xfId="0" applyAlignment="1" applyBorder="1" applyFont="1">
      <alignment shrinkToFit="0" vertical="bottom" wrapText="0"/>
    </xf>
    <xf borderId="0" fillId="0" fontId="12" numFmtId="0" xfId="0" applyAlignment="1" applyFont="1">
      <alignment readingOrder="0" shrinkToFit="0" vertical="bottom" wrapText="0"/>
    </xf>
    <xf borderId="0" fillId="0" fontId="13" numFmtId="0" xfId="0" applyAlignment="1" applyFont="1">
      <alignment horizontal="center" vertical="bottom"/>
    </xf>
    <xf borderId="0" fillId="0" fontId="14" numFmtId="0" xfId="0" applyAlignment="1" applyFont="1">
      <alignment vertical="bottom"/>
    </xf>
    <xf borderId="2" fillId="0" fontId="15" numFmtId="0" xfId="0" applyAlignment="1" applyBorder="1" applyFont="1">
      <alignment shrinkToFit="0" vertical="bottom" wrapText="0"/>
    </xf>
    <xf borderId="2" fillId="0" fontId="16" numFmtId="0" xfId="0" applyAlignment="1" applyBorder="1" applyFont="1">
      <alignment horizontal="center" readingOrder="0" shrinkToFit="0" vertical="bottom" wrapText="0"/>
    </xf>
    <xf borderId="2" fillId="0" fontId="7" numFmtId="0" xfId="0" applyAlignment="1" applyBorder="1" applyFont="1">
      <alignment shrinkToFit="0" vertical="bottom" wrapText="0"/>
    </xf>
    <xf borderId="2" fillId="0" fontId="17" numFmtId="0" xfId="0" applyAlignment="1" applyBorder="1" applyFont="1">
      <alignment horizontal="right" shrinkToFit="0" vertical="bottom" wrapText="0"/>
    </xf>
    <xf borderId="3" fillId="0" fontId="1" numFmtId="0" xfId="0" applyAlignment="1" applyBorder="1" applyFont="1">
      <alignment vertical="bottom"/>
    </xf>
    <xf borderId="4" fillId="0" fontId="1" numFmtId="0" xfId="0" applyAlignment="1" applyBorder="1" applyFont="1">
      <alignment vertical="bottom"/>
    </xf>
    <xf borderId="0" fillId="3" fontId="5" numFmtId="0" xfId="0" applyAlignment="1" applyFont="1">
      <alignment readingOrder="0" shrinkToFit="0" vertical="bottom" wrapText="1"/>
    </xf>
    <xf borderId="3" fillId="3" fontId="5" numFmtId="0" xfId="0" applyAlignment="1" applyBorder="1" applyFont="1">
      <alignment readingOrder="0" shrinkToFit="0" vertical="bottom" wrapText="1"/>
    </xf>
    <xf borderId="3" fillId="0" fontId="18" numFmtId="0" xfId="0" applyBorder="1" applyFont="1"/>
    <xf borderId="0" fillId="4" fontId="19" numFmtId="0" xfId="0" applyAlignment="1" applyFill="1" applyFont="1">
      <alignment horizontal="left" readingOrder="0"/>
    </xf>
    <xf borderId="0" fillId="0" fontId="20" numFmtId="0" xfId="0" applyAlignment="1" applyFont="1">
      <alignment readingOrder="0"/>
    </xf>
    <xf borderId="0" fillId="0" fontId="21" numFmtId="0" xfId="0" applyAlignment="1" applyFont="1">
      <alignment readingOrder="0"/>
    </xf>
    <xf borderId="0" fillId="0" fontId="18" numFmtId="0" xfId="0" applyAlignment="1" applyFont="1">
      <alignment readingOrder="0"/>
    </xf>
    <xf borderId="0" fillId="5" fontId="22" numFmtId="0" xfId="0" applyAlignment="1" applyFill="1" applyFont="1">
      <alignment readingOrder="0"/>
    </xf>
    <xf borderId="0" fillId="0" fontId="23" numFmtId="0" xfId="0" applyAlignment="1" applyFont="1">
      <alignment readingOrder="0"/>
    </xf>
    <xf borderId="0" fillId="4" fontId="19" numFmtId="0" xfId="0" applyAlignment="1" applyFont="1">
      <alignment horizontal="left" readingOrder="0" vertical="center"/>
    </xf>
    <xf borderId="0" fillId="0" fontId="20" numFmtId="0" xfId="0" applyAlignment="1" applyFont="1">
      <alignment readingOrder="0" shrinkToFit="0" wrapText="1"/>
    </xf>
    <xf borderId="0" fillId="0" fontId="23" numFmtId="0" xfId="0" applyFont="1"/>
    <xf borderId="0" fillId="0" fontId="24" numFmtId="0" xfId="0" applyAlignment="1" applyFont="1">
      <alignment readingOrder="0"/>
    </xf>
    <xf borderId="5" fillId="4" fontId="19" numFmtId="0" xfId="0" applyAlignment="1" applyBorder="1" applyFont="1">
      <alignment horizontal="left" readingOrder="0" vertical="center"/>
    </xf>
    <xf borderId="6" fillId="5" fontId="22" numFmtId="0" xfId="0" applyAlignment="1" applyBorder="1" applyFont="1">
      <alignment readingOrder="0" vertical="center"/>
    </xf>
    <xf borderId="0" fillId="0" fontId="23" numFmtId="0" xfId="0" applyAlignment="1" applyFont="1">
      <alignment readingOrder="0" shrinkToFit="0" wrapText="1"/>
    </xf>
    <xf borderId="5" fillId="5" fontId="22" numFmtId="0" xfId="0" applyAlignment="1" applyBorder="1" applyFont="1">
      <alignment readingOrder="0" vertical="center"/>
    </xf>
    <xf borderId="0" fillId="0" fontId="24" numFmtId="0" xfId="0" applyAlignment="1" applyFont="1">
      <alignment readingOrder="0" shrinkToFit="0" wrapText="1"/>
    </xf>
    <xf borderId="0" fillId="0" fontId="25" numFmtId="0" xfId="0" applyAlignment="1" applyFont="1">
      <alignment readingOrder="0" shrinkToFit="0" wrapText="1"/>
    </xf>
    <xf borderId="0" fillId="5" fontId="19" numFmtId="0" xfId="0" applyAlignment="1" applyFont="1">
      <alignment horizontal="left" readingOrder="0" vertical="center"/>
    </xf>
    <xf borderId="0" fillId="0" fontId="26" numFmtId="0" xfId="0" applyAlignment="1" applyFont="1">
      <alignment readingOrder="0" shrinkToFit="0" wrapText="1"/>
    </xf>
    <xf borderId="2" fillId="6" fontId="1" numFmtId="0" xfId="0" applyAlignment="1" applyBorder="1" applyFill="1" applyFont="1">
      <alignment shrinkToFit="0" vertical="bottom" wrapText="0"/>
    </xf>
    <xf borderId="2" fillId="6" fontId="1" numFmtId="0" xfId="0" applyAlignment="1" applyBorder="1" applyFont="1">
      <alignment vertical="bottom"/>
    </xf>
    <xf borderId="0" fillId="6" fontId="1" numFmtId="0" xfId="0" applyAlignment="1" applyFont="1">
      <alignment vertical="bottom"/>
    </xf>
    <xf borderId="0" fillId="0" fontId="9" numFmtId="0" xfId="0" applyAlignment="1" applyFont="1">
      <alignment readingOrder="0"/>
    </xf>
    <xf borderId="0" fillId="0" fontId="7" numFmtId="0" xfId="0" applyAlignment="1" applyFont="1">
      <alignment horizontal="left" readingOrder="0"/>
    </xf>
    <xf borderId="0" fillId="0" fontId="15" numFmtId="0" xfId="0" applyAlignment="1" applyFont="1">
      <alignment horizontal="left" readingOrder="0" shrinkToFit="0" wrapText="1"/>
    </xf>
    <xf borderId="0" fillId="0" fontId="15" numFmtId="0" xfId="0" applyAlignment="1" applyFont="1">
      <alignment horizontal="left" readingOrder="0"/>
    </xf>
    <xf borderId="0" fillId="0" fontId="5" numFmtId="0" xfId="0" applyAlignment="1" applyFont="1">
      <alignment readingOrder="0"/>
    </xf>
    <xf borderId="0" fillId="0" fontId="5" numFmtId="0" xfId="0" applyFont="1"/>
    <xf borderId="0" fillId="0" fontId="27" numFmtId="0" xfId="0" applyAlignment="1" applyFont="1">
      <alignment horizontal="left" readingOrder="0"/>
    </xf>
    <xf borderId="0" fillId="0" fontId="28" numFmtId="0" xfId="0" applyFont="1"/>
    <xf borderId="0" fillId="0" fontId="29" numFmtId="0" xfId="0" applyAlignment="1" applyFont="1">
      <alignment horizontal="left" readingOrder="0"/>
    </xf>
    <xf borderId="0" fillId="7" fontId="30" numFmtId="0" xfId="0" applyAlignment="1" applyFill="1" applyFont="1">
      <alignment horizontal="left" readingOrder="0"/>
    </xf>
    <xf borderId="0" fillId="7" fontId="0" numFmtId="0" xfId="0" applyAlignment="1" applyFont="1">
      <alignment readingOrder="0"/>
    </xf>
    <xf borderId="0" fillId="0" fontId="31" numFmtId="0" xfId="0" applyAlignment="1" applyFont="1">
      <alignment horizontal="left" readingOrder="0"/>
    </xf>
    <xf borderId="0" fillId="0" fontId="32" numFmtId="0" xfId="0" applyAlignment="1" applyFont="1">
      <alignment horizontal="left" readingOrder="0"/>
    </xf>
    <xf borderId="0" fillId="0" fontId="33" numFmtId="0" xfId="0" applyAlignment="1" applyFont="1">
      <alignment readingOrder="0"/>
    </xf>
    <xf borderId="0" fillId="0" fontId="33" numFmtId="0" xfId="0" applyFont="1"/>
    <xf borderId="2" fillId="8" fontId="34" numFmtId="0" xfId="0" applyAlignment="1" applyBorder="1" applyFill="1" applyFont="1">
      <alignment shrinkToFit="0" vertical="bottom" wrapText="0"/>
    </xf>
    <xf borderId="2" fillId="8" fontId="1" numFmtId="0" xfId="0" applyAlignment="1" applyBorder="1" applyFont="1">
      <alignment vertical="bottom"/>
    </xf>
    <xf borderId="0" fillId="8" fontId="1" numFmtId="0" xfId="0" applyAlignment="1" applyFont="1">
      <alignment vertical="bottom"/>
    </xf>
    <xf borderId="2" fillId="0" fontId="35" numFmtId="0" xfId="0" applyAlignment="1" applyBorder="1" applyFont="1">
      <alignment shrinkToFit="0" vertical="bottom" wrapText="0"/>
    </xf>
    <xf borderId="0" fillId="7" fontId="36" numFmtId="0" xfId="0" applyAlignment="1" applyFont="1">
      <alignment vertical="bottom"/>
    </xf>
    <xf borderId="0" fillId="7" fontId="1" numFmtId="0" xfId="0" applyAlignment="1" applyFont="1">
      <alignment vertical="bottom"/>
    </xf>
    <xf borderId="0" fillId="7" fontId="36" numFmtId="0" xfId="0" applyAlignment="1" applyFont="1">
      <alignment horizontal="right" vertical="bottom"/>
    </xf>
    <xf borderId="0" fillId="0" fontId="36" numFmtId="0" xfId="0" applyAlignment="1" applyFont="1">
      <alignment horizontal="right" vertical="bottom"/>
    </xf>
    <xf borderId="0" fillId="0" fontId="37" numFmtId="0" xfId="0" applyAlignment="1" applyFont="1">
      <alignment vertical="bottom"/>
    </xf>
    <xf borderId="0" fillId="7" fontId="1" numFmtId="0" xfId="0" applyAlignment="1" applyFont="1">
      <alignment readingOrder="0" vertical="bottom"/>
    </xf>
    <xf borderId="0" fillId="0" fontId="38" numFmtId="0" xfId="0" applyAlignment="1" applyFont="1">
      <alignment readingOrder="0"/>
    </xf>
    <xf borderId="0" fillId="0" fontId="18" numFmtId="0" xfId="0" applyFont="1"/>
    <xf borderId="0" fillId="0" fontId="36" numFmtId="0" xfId="0" applyAlignment="1" applyFont="1">
      <alignment vertical="bottom"/>
    </xf>
    <xf borderId="0" fillId="7" fontId="1" numFmtId="0" xfId="0" applyAlignment="1" applyFont="1">
      <alignment horizontal="right" vertical="bottom"/>
    </xf>
    <xf borderId="0" fillId="7" fontId="1" numFmtId="0" xfId="0" applyAlignment="1" applyFont="1">
      <alignment vertical="bottom"/>
    </xf>
    <xf borderId="0" fillId="0" fontId="36" numFmtId="0" xfId="0" applyAlignment="1" applyFont="1">
      <alignment horizontal="right" readingOrder="0" shrinkToFit="0" vertical="bottom" wrapText="0"/>
    </xf>
    <xf borderId="0" fillId="0" fontId="37" numFmtId="0" xfId="0" applyAlignment="1" applyFont="1">
      <alignment horizontal="right" vertical="bottom"/>
    </xf>
    <xf borderId="0" fillId="0" fontId="37" numFmtId="0" xfId="0" applyAlignment="1" applyFont="1">
      <alignment horizontal="right" vertical="bottom"/>
    </xf>
    <xf borderId="0" fillId="0" fontId="37" numFmtId="0" xfId="0" applyAlignment="1" applyFont="1">
      <alignment vertical="bottom"/>
    </xf>
    <xf borderId="0" fillId="0" fontId="39" numFmtId="0" xfId="0" applyFont="1"/>
    <xf borderId="0" fillId="0" fontId="30" numFmtId="0" xfId="0" applyAlignment="1" applyFont="1">
      <alignment horizontal="right" readingOrder="0"/>
    </xf>
    <xf borderId="0" fillId="0" fontId="1" numFmtId="0" xfId="0" applyAlignment="1" applyFont="1">
      <alignment horizontal="right" readingOrder="0"/>
    </xf>
    <xf borderId="0" fillId="0" fontId="36" numFmtId="0" xfId="0" applyAlignment="1" applyFont="1">
      <alignment horizontal="right" vertical="bottom"/>
    </xf>
    <xf borderId="0" fillId="0" fontId="36" numFmtId="0" xfId="0" applyAlignment="1" applyFont="1">
      <alignment vertical="bottom"/>
    </xf>
    <xf borderId="0" fillId="0" fontId="36" numFmtId="0" xfId="0" applyAlignment="1" applyFont="1">
      <alignment horizontal="right" readingOrder="0" vertical="bottom"/>
    </xf>
    <xf borderId="0" fillId="0" fontId="36" numFmtId="0" xfId="0" applyAlignment="1" applyFont="1">
      <alignment readingOrder="0" vertical="bottom"/>
    </xf>
    <xf borderId="0" fillId="7" fontId="37" numFmtId="0" xfId="0" applyAlignment="1" applyFont="1">
      <alignment readingOrder="0" vertical="bottom"/>
    </xf>
    <xf borderId="0" fillId="7" fontId="1" numFmtId="0" xfId="0" applyAlignment="1" applyFont="1">
      <alignment horizontal="right" vertical="bottom"/>
    </xf>
    <xf borderId="0" fillId="7" fontId="36" numFmtId="0" xfId="0" applyAlignment="1" applyFont="1">
      <alignment horizontal="right" readingOrder="0"/>
    </xf>
    <xf borderId="0" fillId="0" fontId="30" numFmtId="0" xfId="0" applyAlignment="1" applyFont="1">
      <alignment horizontal="right" readingOrder="0" shrinkToFit="0" vertical="bottom" wrapText="0"/>
    </xf>
    <xf borderId="0" fillId="9" fontId="40" numFmtId="0" xfId="0" applyAlignment="1" applyFill="1" applyFont="1">
      <alignment horizontal="right" readingOrder="0"/>
    </xf>
    <xf borderId="0" fillId="0" fontId="36" numFmtId="0" xfId="0" applyAlignment="1" applyFont="1">
      <alignmen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314325</xdr:colOff>
      <xdr:row>1</xdr:row>
      <xdr:rowOff>133350</xdr:rowOff>
    </xdr:from>
    <xdr:ext cx="2000250" cy="1971675"/>
    <xdr:pic>
      <xdr:nvPicPr>
        <xdr:cNvPr id="0" name="image1.jpg" title="Image"/>
        <xdr:cNvPicPr preferRelativeResize="0"/>
      </xdr:nvPicPr>
      <xdr:blipFill>
        <a:blip cstate="print" r:embed="rId1"/>
        <a:stretch>
          <a:fillRect/>
        </a:stretch>
      </xdr:blipFill>
      <xdr:spPr>
        <a:prstGeom prst="rect">
          <a:avLst/>
        </a:prstGeom>
        <a:noFill/>
      </xdr:spPr>
    </xdr:pic>
    <xdr:clientData fLocksWithSheet="0"/>
  </xdr:oneCellAnchor>
</xdr:wsDr>
</file>

<file path=xl/worksheets/_rels/sheet1.xml.rels><?xml version="1.0" encoding="UTF-8" standalone="yes"?><Relationships xmlns="http://schemas.openxmlformats.org/package/2006/relationships"><Relationship Id="rId11" Type="http://schemas.openxmlformats.org/officeDocument/2006/relationships/hyperlink" Target="http://www.isogg.org/wiki/Wiki_Welcome_Page" TargetMode="External"/><Relationship Id="rId10" Type="http://schemas.openxmlformats.org/officeDocument/2006/relationships/hyperlink" Target="http://mbe.oxfordjournals.org/content/23/8/1628.full.pdf" TargetMode="External"/><Relationship Id="rId13" Type="http://schemas.openxmlformats.org/officeDocument/2006/relationships/hyperlink" Target="http://www.isogg.org/tree/ISOGG_YDNA_SNP_Index.html" TargetMode="External"/><Relationship Id="rId12" Type="http://schemas.openxmlformats.org/officeDocument/2006/relationships/hyperlink" Target="http://www.isogg.org/tree/index.html" TargetMode="External"/><Relationship Id="rId1" Type="http://schemas.openxmlformats.org/officeDocument/2006/relationships/hyperlink" Target="http://www.isogg.org/tree/ISOGG_YDNA_Version_History.html" TargetMode="External"/><Relationship Id="rId2" Type="http://schemas.openxmlformats.org/officeDocument/2006/relationships/hyperlink" Target="http://www.isogg.org/tree/ISOGG_All_Papers.html" TargetMode="External"/><Relationship Id="rId3" Type="http://schemas.openxmlformats.org/officeDocument/2006/relationships/hyperlink" Target="http://www.isogg.org/tree/ISOGG_Glossary.html" TargetMode="External"/><Relationship Id="rId4" Type="http://schemas.openxmlformats.org/officeDocument/2006/relationships/hyperlink" Target="http://www.cell.com/current-biology/pdf/S0960-9822%2816%2900078-6.pdf" TargetMode="External"/><Relationship Id="rId9" Type="http://schemas.openxmlformats.org/officeDocument/2006/relationships/hyperlink" Target="http://mbe.oxfordjournals.org/cgi/content/abstract/msm187v1" TargetMode="External"/><Relationship Id="rId15" Type="http://schemas.openxmlformats.org/officeDocument/2006/relationships/hyperlink" Target="http://www.isogg.org/tree/ISOGG_Glossary.html" TargetMode="External"/><Relationship Id="rId14" Type="http://schemas.openxmlformats.org/officeDocument/2006/relationships/hyperlink" Target="http://www.isogg.org/tree/ISOGG_All_Papers.html" TargetMode="External"/><Relationship Id="rId16" Type="http://schemas.openxmlformats.org/officeDocument/2006/relationships/drawing" Target="../drawings/drawing1.xml"/><Relationship Id="rId5" Type="http://schemas.openxmlformats.org/officeDocument/2006/relationships/hyperlink" Target="http://genome.cshlp.org/content/early/2015/03/13/gr.186684.114.abstract" TargetMode="External"/><Relationship Id="rId6" Type="http://schemas.openxmlformats.org/officeDocument/2006/relationships/hyperlink" Target="http://hpgl.stanford.edu/publications/AJHG_2001_v68_p173-190.pdf" TargetMode="External"/><Relationship Id="rId7" Type="http://schemas.openxmlformats.org/officeDocument/2006/relationships/hyperlink" Target="http://mbe.oxfordjournals.org/cgi/content/full/23/11/2234" TargetMode="External"/><Relationship Id="rId8" Type="http://schemas.openxmlformats.org/officeDocument/2006/relationships/hyperlink" Target="http://hpgl.stanford.edu/publications/AJHG_2003_v72_p281-302.pdf"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75"/>
    <col customWidth="1" min="2" max="2" width="5.38"/>
    <col customWidth="1" min="3" max="3" width="6.63"/>
    <col customWidth="1" min="4" max="4" width="6.38"/>
    <col customWidth="1" min="5" max="5" width="6.88"/>
    <col customWidth="1" min="6" max="7" width="7.88"/>
    <col customWidth="1" min="8" max="8" width="9.0"/>
    <col customWidth="1" min="9" max="9" width="10.5"/>
    <col customWidth="1" min="10" max="10" width="11.75"/>
    <col customWidth="1" min="12" max="12" width="14.0"/>
  </cols>
  <sheetData>
    <row r="1">
      <c r="A1" s="1"/>
      <c r="B1" s="1"/>
      <c r="C1" s="2" t="s">
        <v>0</v>
      </c>
      <c r="M1" s="1"/>
      <c r="N1" s="1"/>
      <c r="O1" s="1"/>
      <c r="P1" s="1"/>
      <c r="Q1" s="1"/>
      <c r="R1" s="1"/>
      <c r="S1" s="1"/>
      <c r="T1" s="1"/>
      <c r="U1" s="1"/>
      <c r="V1" s="1"/>
      <c r="W1" s="1"/>
      <c r="X1" s="1"/>
      <c r="Y1" s="1"/>
      <c r="Z1" s="1"/>
      <c r="AA1" s="1"/>
    </row>
    <row r="2">
      <c r="A2" s="1"/>
      <c r="B2" s="1"/>
      <c r="C2" s="1"/>
      <c r="D2" s="1"/>
      <c r="E2" s="1"/>
      <c r="F2" s="1"/>
      <c r="G2" s="1"/>
      <c r="H2" s="1"/>
      <c r="I2" s="1"/>
      <c r="J2" s="1"/>
      <c r="K2" s="1"/>
      <c r="L2" s="1"/>
      <c r="M2" s="1"/>
      <c r="N2" s="1"/>
      <c r="O2" s="1"/>
      <c r="P2" s="1"/>
      <c r="Q2" s="1"/>
      <c r="R2" s="1"/>
      <c r="S2" s="1"/>
      <c r="T2" s="1"/>
      <c r="U2" s="1"/>
      <c r="V2" s="1"/>
      <c r="W2" s="1"/>
      <c r="X2" s="1"/>
      <c r="Y2" s="1"/>
      <c r="Z2" s="1"/>
      <c r="AA2" s="1"/>
    </row>
    <row r="3">
      <c r="A3" s="1"/>
      <c r="B3" s="1"/>
      <c r="C3" s="1"/>
      <c r="D3" s="1"/>
      <c r="E3" s="1"/>
      <c r="F3" s="1"/>
      <c r="G3" s="1"/>
      <c r="H3" s="1"/>
      <c r="I3" s="1"/>
      <c r="J3" s="1"/>
      <c r="K3" s="1"/>
      <c r="L3" s="1"/>
      <c r="M3" s="1"/>
      <c r="N3" s="1"/>
      <c r="O3" s="1"/>
      <c r="P3" s="1"/>
      <c r="Q3" s="1"/>
      <c r="R3" s="1"/>
      <c r="S3" s="1"/>
      <c r="T3" s="1"/>
      <c r="U3" s="1"/>
      <c r="V3" s="1"/>
      <c r="W3" s="1"/>
      <c r="X3" s="1"/>
      <c r="Y3" s="1"/>
      <c r="Z3" s="1"/>
      <c r="AA3" s="1"/>
    </row>
    <row r="4">
      <c r="C4" s="3" t="s">
        <v>1</v>
      </c>
      <c r="D4" s="4"/>
      <c r="E4" s="4"/>
      <c r="F4" s="4"/>
      <c r="G4" s="4"/>
      <c r="H4" s="4"/>
      <c r="I4" s="4"/>
      <c r="J4" s="4"/>
      <c r="K4" s="4"/>
      <c r="L4" s="4"/>
      <c r="M4" s="1"/>
      <c r="N4" s="1"/>
      <c r="O4" s="1"/>
      <c r="P4" s="1"/>
      <c r="Q4" s="1"/>
      <c r="R4" s="1"/>
      <c r="S4" s="1"/>
      <c r="T4" s="1"/>
      <c r="U4" s="1"/>
      <c r="V4" s="1"/>
      <c r="W4" s="1"/>
      <c r="X4" s="1"/>
      <c r="Y4" s="1"/>
      <c r="Z4" s="1"/>
      <c r="AA4" s="1"/>
    </row>
    <row r="5">
      <c r="A5" s="1"/>
      <c r="B5" s="1"/>
      <c r="C5" s="5"/>
      <c r="D5" s="1"/>
      <c r="E5" s="1"/>
      <c r="F5" s="1"/>
      <c r="G5" s="1"/>
      <c r="H5" s="1"/>
      <c r="I5" s="1"/>
      <c r="J5" s="1"/>
      <c r="K5" s="1"/>
      <c r="L5" s="1"/>
      <c r="M5" s="1"/>
      <c r="N5" s="1"/>
      <c r="O5" s="1"/>
      <c r="P5" s="1"/>
      <c r="Q5" s="1"/>
      <c r="R5" s="1"/>
      <c r="S5" s="1"/>
      <c r="T5" s="1"/>
      <c r="U5" s="1"/>
      <c r="V5" s="1"/>
      <c r="W5" s="1"/>
      <c r="X5" s="1"/>
      <c r="Y5" s="1"/>
      <c r="Z5" s="1"/>
      <c r="AA5" s="1"/>
    </row>
    <row r="6">
      <c r="A6" s="1"/>
      <c r="B6" s="1"/>
      <c r="C6" s="6" t="s">
        <v>2</v>
      </c>
      <c r="D6" s="5"/>
      <c r="E6" s="5"/>
      <c r="F6" s="5"/>
      <c r="G6" s="5"/>
      <c r="H6" s="5"/>
      <c r="I6" s="1"/>
      <c r="J6" s="7" t="str">
        <f>HYPERLINK("https://isogg.org/tree/index.html","Main Page.")</f>
        <v>Main Page.</v>
      </c>
      <c r="K6" s="8"/>
      <c r="L6" s="1"/>
      <c r="M6" s="1"/>
      <c r="N6" s="1"/>
      <c r="O6" s="1"/>
      <c r="P6" s="1"/>
      <c r="Q6" s="1"/>
      <c r="R6" s="1"/>
      <c r="S6" s="1"/>
      <c r="T6" s="1"/>
      <c r="U6" s="1"/>
      <c r="V6" s="1"/>
      <c r="W6" s="1"/>
      <c r="X6" s="1"/>
      <c r="Y6" s="1"/>
      <c r="Z6" s="1"/>
      <c r="AA6" s="1"/>
    </row>
    <row r="7">
      <c r="A7" s="1"/>
      <c r="B7" s="1"/>
      <c r="C7" s="6" t="s">
        <v>3</v>
      </c>
      <c r="D7" s="5"/>
      <c r="E7" s="5"/>
      <c r="F7" s="5"/>
      <c r="G7" s="1"/>
      <c r="H7" s="7" t="str">
        <f>HYPERLINK("https://isogg.org/tree/index.html","Main Page.")</f>
        <v>Main Page.</v>
      </c>
      <c r="I7" s="8"/>
      <c r="J7" s="1"/>
      <c r="K7" s="1"/>
      <c r="L7" s="1"/>
      <c r="M7" s="1"/>
      <c r="N7" s="1"/>
      <c r="O7" s="1"/>
      <c r="P7" s="1"/>
      <c r="Q7" s="1"/>
      <c r="R7" s="1"/>
      <c r="S7" s="1"/>
      <c r="T7" s="1"/>
      <c r="U7" s="1"/>
      <c r="V7" s="1"/>
      <c r="W7" s="1"/>
      <c r="X7" s="1"/>
      <c r="Y7" s="1"/>
      <c r="Z7" s="1"/>
      <c r="AA7" s="1"/>
    </row>
    <row r="8">
      <c r="A8" s="1"/>
      <c r="B8" s="1"/>
      <c r="C8" s="5"/>
      <c r="D8" s="9" t="s">
        <v>4</v>
      </c>
      <c r="E8" s="5"/>
      <c r="F8" s="5"/>
      <c r="G8" s="5"/>
      <c r="H8" s="5"/>
      <c r="I8" s="10" t="s">
        <v>5</v>
      </c>
      <c r="J8" s="5"/>
      <c r="K8" s="1"/>
      <c r="L8" s="1"/>
      <c r="M8" s="1"/>
      <c r="N8" s="1"/>
      <c r="O8" s="1"/>
      <c r="P8" s="1"/>
      <c r="Q8" s="1"/>
      <c r="R8" s="1"/>
      <c r="S8" s="1"/>
      <c r="T8" s="1"/>
      <c r="U8" s="1"/>
      <c r="V8" s="1"/>
      <c r="W8" s="1"/>
      <c r="X8" s="1"/>
      <c r="Y8" s="1"/>
      <c r="Z8" s="1"/>
      <c r="AA8" s="1"/>
    </row>
    <row r="9">
      <c r="A9" s="1"/>
      <c r="B9" s="1"/>
      <c r="C9" s="1"/>
      <c r="D9" s="1"/>
      <c r="E9" s="1"/>
      <c r="F9" s="1"/>
      <c r="G9" s="1"/>
      <c r="H9" s="1"/>
      <c r="I9" s="1"/>
      <c r="J9" s="1"/>
      <c r="K9" s="1"/>
      <c r="L9" s="1"/>
      <c r="M9" s="1"/>
      <c r="N9" s="1"/>
      <c r="O9" s="1"/>
      <c r="P9" s="1"/>
      <c r="Q9" s="1"/>
      <c r="R9" s="1"/>
      <c r="S9" s="1"/>
      <c r="T9" s="1"/>
      <c r="U9" s="1"/>
      <c r="V9" s="1"/>
      <c r="W9" s="1"/>
      <c r="X9" s="1"/>
      <c r="Y9" s="1"/>
      <c r="Z9" s="1"/>
      <c r="AA9" s="1"/>
    </row>
    <row r="10">
      <c r="A10" s="1"/>
      <c r="B10" s="11" t="s">
        <v>6</v>
      </c>
      <c r="M10" s="1"/>
      <c r="N10" s="1"/>
      <c r="O10" s="1"/>
      <c r="P10" s="1"/>
      <c r="Q10" s="1"/>
      <c r="R10" s="1"/>
      <c r="S10" s="1"/>
      <c r="T10" s="1"/>
      <c r="U10" s="1"/>
      <c r="V10" s="1"/>
      <c r="W10" s="1"/>
      <c r="X10" s="1"/>
      <c r="Y10" s="1"/>
      <c r="Z10" s="1"/>
      <c r="AA10" s="1"/>
    </row>
    <row r="11">
      <c r="A11" s="1"/>
      <c r="B11" s="12" t="s">
        <v>7</v>
      </c>
      <c r="C11" s="13"/>
      <c r="D11" s="13"/>
      <c r="E11" s="13"/>
      <c r="F11" s="13"/>
      <c r="G11" s="13"/>
      <c r="H11" s="13"/>
      <c r="I11" s="14"/>
      <c r="J11" s="15" t="s">
        <v>8</v>
      </c>
      <c r="K11" s="1"/>
      <c r="L11" s="1"/>
      <c r="M11" s="1"/>
      <c r="N11" s="1"/>
      <c r="O11" s="1"/>
      <c r="P11" s="1"/>
      <c r="Q11" s="1"/>
      <c r="R11" s="1"/>
      <c r="S11" s="1"/>
      <c r="T11" s="1"/>
      <c r="U11" s="1"/>
      <c r="V11" s="1"/>
      <c r="W11" s="1"/>
      <c r="X11" s="1"/>
      <c r="Y11" s="1"/>
      <c r="Z11" s="1"/>
      <c r="AA11" s="1"/>
    </row>
    <row r="12">
      <c r="A12" s="1"/>
      <c r="B12" s="1"/>
      <c r="C12" s="1"/>
      <c r="D12" s="1"/>
      <c r="E12" s="1"/>
      <c r="F12" s="1"/>
      <c r="G12" s="1"/>
      <c r="H12" s="1"/>
      <c r="I12" s="1"/>
      <c r="J12" s="1"/>
      <c r="K12" s="1"/>
      <c r="L12" s="1"/>
      <c r="M12" s="1"/>
      <c r="N12" s="1"/>
      <c r="O12" s="1"/>
      <c r="P12" s="1"/>
      <c r="Q12" s="1"/>
      <c r="R12" s="1"/>
      <c r="S12" s="1"/>
      <c r="T12" s="1"/>
      <c r="U12" s="1"/>
      <c r="V12" s="1"/>
      <c r="W12" s="1"/>
      <c r="X12" s="1"/>
      <c r="Y12" s="1"/>
      <c r="Z12" s="1"/>
      <c r="AA12" s="1"/>
    </row>
    <row r="13">
      <c r="A13" s="16" t="s">
        <v>9</v>
      </c>
      <c r="B13" s="1"/>
      <c r="C13" s="17" t="str">
        <f>HYPERLINK("https://isogg.org/tree/index.html","Main Page")</f>
        <v>Main Page</v>
      </c>
      <c r="D13" s="8"/>
      <c r="E13" s="8"/>
      <c r="F13" s="17" t="str">
        <f>HYPERLINK("https://docs.google.com/spreadsheets/d/1yjXfo8_vfVNzp-yfYoBQLQK8gzqJg5nNtuTTD1RrFS4/edit#gid=0","Listing Criteria")</f>
        <v>Listing Criteria</v>
      </c>
      <c r="G13" s="8"/>
      <c r="H13" s="18"/>
      <c r="I13" s="9" t="s">
        <v>10</v>
      </c>
      <c r="J13" s="8"/>
      <c r="K13" s="19" t="str">
        <f>HYPERLINK("https://docs.google.com/spreadsheets/d/1Y0GXjhazYa46u0EpPA9b0Y0RVWuh5lDzww_o979mbjQ/edit#gid=1904113265","Y-DNA Tree Trunk")</f>
        <v>Y-DNA Tree Trunk</v>
      </c>
      <c r="L13" s="8"/>
      <c r="M13" s="20" t="s">
        <v>11</v>
      </c>
      <c r="N13" s="1"/>
      <c r="O13" s="1"/>
      <c r="P13" s="1"/>
      <c r="Q13" s="1"/>
      <c r="R13" s="1"/>
      <c r="S13" s="1"/>
      <c r="T13" s="1"/>
      <c r="U13" s="1"/>
      <c r="V13" s="1"/>
      <c r="W13" s="1"/>
      <c r="X13" s="1"/>
      <c r="Y13" s="1"/>
      <c r="Z13" s="1"/>
      <c r="AA13" s="1"/>
    </row>
    <row r="14">
      <c r="A14" s="1"/>
      <c r="B14" s="1"/>
      <c r="C14" s="8"/>
      <c r="D14" s="8"/>
      <c r="E14" s="8"/>
      <c r="F14" s="8"/>
      <c r="G14" s="21" t="s">
        <v>12</v>
      </c>
      <c r="H14" s="8"/>
      <c r="I14" s="22" t="str">
        <f>HYPERLINK("https://isogg.org/tree/ISOGG_YDNA_SNP_Index.html","SNP Index")</f>
        <v>SNP Index</v>
      </c>
      <c r="J14" s="8"/>
      <c r="K14" s="8"/>
      <c r="L14" s="8"/>
      <c r="M14" s="8"/>
      <c r="N14" s="1"/>
      <c r="O14" s="1"/>
      <c r="P14" s="1"/>
      <c r="Q14" s="1"/>
      <c r="R14" s="1"/>
      <c r="S14" s="1"/>
      <c r="T14" s="1"/>
      <c r="U14" s="1"/>
      <c r="V14" s="1"/>
      <c r="W14" s="1"/>
      <c r="X14" s="1"/>
      <c r="Y14" s="1"/>
      <c r="Z14" s="1"/>
      <c r="AA14" s="1"/>
    </row>
    <row r="15">
      <c r="A15" s="1"/>
      <c r="B15" s="1"/>
      <c r="C15" s="1"/>
      <c r="D15" s="1"/>
      <c r="E15" s="1"/>
      <c r="F15" s="1"/>
      <c r="G15" s="1"/>
      <c r="H15" s="1"/>
      <c r="I15" s="1"/>
      <c r="J15" s="1"/>
      <c r="K15" s="1"/>
      <c r="L15" s="1"/>
      <c r="M15" s="1"/>
      <c r="N15" s="1"/>
      <c r="O15" s="1"/>
      <c r="P15" s="1"/>
      <c r="Q15" s="1"/>
      <c r="R15" s="1"/>
      <c r="S15" s="1"/>
      <c r="T15" s="1"/>
      <c r="U15" s="1"/>
      <c r="V15" s="1"/>
      <c r="W15" s="1"/>
      <c r="X15" s="1"/>
      <c r="Y15" s="1"/>
      <c r="Z15" s="1"/>
      <c r="AA15" s="1"/>
    </row>
    <row r="16">
      <c r="A16" s="23" t="s">
        <v>13</v>
      </c>
      <c r="B16" s="5"/>
      <c r="C16" s="5"/>
      <c r="D16" s="5"/>
      <c r="E16" s="5"/>
      <c r="F16" s="24" t="s">
        <v>14</v>
      </c>
      <c r="G16" s="5"/>
      <c r="H16" s="1"/>
      <c r="I16" s="25" t="s">
        <v>15</v>
      </c>
      <c r="J16" s="5"/>
      <c r="L16" s="26" t="s">
        <v>16</v>
      </c>
      <c r="N16" s="1"/>
      <c r="O16" s="1"/>
      <c r="P16" s="1"/>
      <c r="Q16" s="1"/>
      <c r="R16" s="1"/>
      <c r="S16" s="1"/>
      <c r="T16" s="1"/>
      <c r="U16" s="1"/>
      <c r="V16" s="1"/>
      <c r="W16" s="1"/>
      <c r="X16" s="1"/>
      <c r="Y16" s="1"/>
      <c r="Z16" s="1"/>
      <c r="AA16" s="1"/>
    </row>
    <row r="17">
      <c r="A17" s="1"/>
      <c r="B17" s="1"/>
      <c r="C17" s="1"/>
      <c r="D17" s="1"/>
      <c r="E17" s="1"/>
      <c r="F17" s="1"/>
      <c r="G17" s="1"/>
      <c r="H17" s="1"/>
      <c r="I17" s="1"/>
      <c r="J17" s="1"/>
      <c r="K17" s="1"/>
      <c r="L17" s="1"/>
      <c r="M17" s="1"/>
      <c r="N17" s="1"/>
      <c r="O17" s="1"/>
      <c r="P17" s="1"/>
      <c r="Q17" s="1"/>
      <c r="R17" s="1"/>
      <c r="S17" s="1"/>
      <c r="T17" s="1"/>
      <c r="U17" s="1"/>
      <c r="V17" s="1"/>
      <c r="W17" s="1"/>
      <c r="X17" s="1"/>
      <c r="Y17" s="1"/>
      <c r="Z17" s="1"/>
      <c r="AA17" s="1"/>
    </row>
    <row r="18">
      <c r="A18" s="23" t="s">
        <v>17</v>
      </c>
      <c r="B18" s="5"/>
      <c r="C18" s="1"/>
      <c r="D18" s="6" t="s">
        <v>18</v>
      </c>
      <c r="E18" s="5"/>
      <c r="F18" s="5"/>
      <c r="G18" s="5"/>
      <c r="H18" s="5"/>
      <c r="I18" s="5"/>
      <c r="J18" s="5"/>
      <c r="K18" s="5"/>
      <c r="L18" s="5"/>
      <c r="M18" s="1"/>
      <c r="N18" s="1"/>
      <c r="O18" s="1"/>
      <c r="P18" s="1"/>
      <c r="Q18" s="1"/>
      <c r="R18" s="1"/>
      <c r="S18" s="1"/>
      <c r="T18" s="1"/>
      <c r="U18" s="1"/>
      <c r="V18" s="1"/>
      <c r="W18" s="1"/>
      <c r="X18" s="1"/>
      <c r="Y18" s="1"/>
      <c r="Z18" s="1"/>
      <c r="AA18" s="1"/>
    </row>
    <row r="19">
      <c r="A19" s="1"/>
      <c r="B19" s="1"/>
      <c r="C19" s="1"/>
      <c r="D19" s="6" t="s">
        <v>19</v>
      </c>
      <c r="E19" s="5"/>
      <c r="F19" s="5"/>
      <c r="G19" s="5"/>
      <c r="H19" s="5"/>
      <c r="I19" s="5"/>
      <c r="J19" s="1"/>
      <c r="K19" s="1"/>
      <c r="L19" s="1"/>
      <c r="M19" s="1"/>
      <c r="N19" s="1"/>
      <c r="O19" s="1"/>
      <c r="P19" s="1"/>
      <c r="Q19" s="1"/>
      <c r="R19" s="1"/>
      <c r="S19" s="1"/>
      <c r="T19" s="1"/>
      <c r="U19" s="1"/>
      <c r="V19" s="1"/>
      <c r="W19" s="1"/>
      <c r="X19" s="1"/>
      <c r="Y19" s="1"/>
      <c r="Z19" s="1"/>
      <c r="AA19" s="1"/>
    </row>
    <row r="20">
      <c r="A20" s="1"/>
      <c r="B20" s="1"/>
      <c r="C20" s="1"/>
      <c r="D20" s="6" t="s">
        <v>20</v>
      </c>
      <c r="E20" s="5"/>
      <c r="F20" s="5"/>
      <c r="G20" s="5"/>
      <c r="H20" s="5"/>
      <c r="I20" s="1"/>
      <c r="J20" s="1"/>
      <c r="K20" s="1"/>
      <c r="L20" s="1"/>
      <c r="M20" s="1"/>
      <c r="N20" s="1"/>
      <c r="O20" s="1"/>
      <c r="P20" s="1"/>
      <c r="Q20" s="1"/>
      <c r="R20" s="1"/>
      <c r="S20" s="1"/>
      <c r="T20" s="1"/>
      <c r="U20" s="1"/>
      <c r="V20" s="1"/>
      <c r="W20" s="1"/>
      <c r="X20" s="1"/>
      <c r="Y20" s="1"/>
      <c r="Z20" s="1"/>
      <c r="AA20" s="1"/>
    </row>
    <row r="21">
      <c r="A21" s="1"/>
      <c r="B21" s="27"/>
      <c r="C21" s="27"/>
      <c r="D21" s="27"/>
      <c r="E21" s="27"/>
      <c r="F21" s="27"/>
      <c r="G21" s="27"/>
      <c r="H21" s="27"/>
      <c r="I21" s="27"/>
      <c r="J21" s="27"/>
      <c r="K21" s="27"/>
      <c r="L21" s="1"/>
      <c r="M21" s="1"/>
      <c r="N21" s="1"/>
      <c r="O21" s="1"/>
      <c r="P21" s="1"/>
      <c r="Q21" s="1"/>
      <c r="R21" s="1"/>
      <c r="S21" s="1"/>
      <c r="T21" s="1"/>
      <c r="U21" s="1"/>
      <c r="V21" s="1"/>
      <c r="W21" s="1"/>
      <c r="X21" s="1"/>
      <c r="Y21" s="1"/>
      <c r="Z21" s="1"/>
      <c r="AA21" s="1"/>
    </row>
    <row r="22">
      <c r="A22" s="28"/>
      <c r="B22" s="29" t="s">
        <v>21</v>
      </c>
      <c r="M22" s="1"/>
      <c r="N22" s="1"/>
      <c r="O22" s="1"/>
      <c r="P22" s="1"/>
      <c r="Q22" s="1"/>
      <c r="R22" s="1"/>
      <c r="S22" s="1"/>
      <c r="T22" s="1"/>
      <c r="U22" s="1"/>
      <c r="V22" s="1"/>
      <c r="W22" s="1"/>
      <c r="X22" s="1"/>
      <c r="Y22" s="1"/>
      <c r="Z22" s="1"/>
      <c r="AA22" s="1"/>
    </row>
    <row r="23">
      <c r="A23" s="28"/>
      <c r="B23" s="30" t="s">
        <v>22</v>
      </c>
      <c r="C23" s="31"/>
      <c r="D23" s="31"/>
      <c r="E23" s="31"/>
      <c r="F23" s="31"/>
      <c r="G23" s="31"/>
      <c r="H23" s="31"/>
      <c r="I23" s="31"/>
      <c r="J23" s="31"/>
      <c r="K23" s="31"/>
      <c r="L23" s="31"/>
      <c r="M23" s="1"/>
      <c r="N23" s="1"/>
      <c r="O23" s="1"/>
      <c r="P23" s="1"/>
      <c r="Q23" s="1"/>
      <c r="R23" s="1"/>
      <c r="S23" s="1"/>
      <c r="T23" s="1"/>
      <c r="U23" s="1"/>
      <c r="V23" s="1"/>
      <c r="W23" s="1"/>
      <c r="X23" s="1"/>
      <c r="Y23" s="1"/>
      <c r="Z23" s="1"/>
      <c r="AA23" s="1"/>
    </row>
    <row r="24">
      <c r="A24" s="1"/>
      <c r="B24" s="29" t="s">
        <v>23</v>
      </c>
      <c r="M24" s="1"/>
      <c r="N24" s="1"/>
      <c r="O24" s="1"/>
      <c r="P24" s="1"/>
      <c r="Q24" s="1"/>
      <c r="R24" s="1"/>
      <c r="S24" s="1"/>
      <c r="T24" s="1"/>
      <c r="U24" s="1"/>
      <c r="V24" s="1"/>
      <c r="W24" s="1"/>
      <c r="X24" s="1"/>
      <c r="Y24" s="1"/>
      <c r="Z24" s="1"/>
      <c r="AA24" s="1"/>
    </row>
    <row r="25">
      <c r="A25" s="1"/>
      <c r="B25" s="1"/>
      <c r="C25" s="1"/>
      <c r="D25" s="1"/>
      <c r="E25" s="1"/>
      <c r="F25" s="1"/>
      <c r="G25" s="1"/>
      <c r="H25" s="1"/>
      <c r="I25" s="1"/>
      <c r="J25" s="1"/>
      <c r="K25" s="1"/>
      <c r="L25" s="1"/>
      <c r="M25" s="1"/>
      <c r="N25" s="1"/>
      <c r="O25" s="1"/>
      <c r="P25" s="1"/>
      <c r="Q25" s="1"/>
      <c r="R25" s="1"/>
      <c r="S25" s="1"/>
      <c r="T25" s="1"/>
      <c r="U25" s="1"/>
      <c r="V25" s="1"/>
      <c r="W25" s="1"/>
      <c r="X25" s="1"/>
      <c r="Y25" s="1"/>
      <c r="Z25" s="1"/>
      <c r="AA25" s="1"/>
    </row>
    <row r="27">
      <c r="A27" s="32" t="s">
        <v>24</v>
      </c>
      <c r="B27" s="33" t="s">
        <v>25</v>
      </c>
    </row>
    <row r="28">
      <c r="B28" s="32" t="s">
        <v>26</v>
      </c>
      <c r="C28" s="34" t="s">
        <v>27</v>
      </c>
    </row>
    <row r="29">
      <c r="C29" s="32" t="s">
        <v>28</v>
      </c>
      <c r="D29" s="35" t="s">
        <v>29</v>
      </c>
    </row>
    <row r="30">
      <c r="C30" s="36" t="s">
        <v>30</v>
      </c>
      <c r="D30" s="37" t="s">
        <v>31</v>
      </c>
    </row>
    <row r="31">
      <c r="D31" s="32" t="s">
        <v>32</v>
      </c>
      <c r="E31" s="35" t="s">
        <v>33</v>
      </c>
    </row>
    <row r="32">
      <c r="E32" s="38" t="s">
        <v>34</v>
      </c>
      <c r="F32" s="39" t="s">
        <v>35</v>
      </c>
    </row>
    <row r="33">
      <c r="F33" s="38" t="s">
        <v>36</v>
      </c>
      <c r="G33" s="39" t="s">
        <v>37</v>
      </c>
    </row>
    <row r="34">
      <c r="F34" s="36" t="s">
        <v>38</v>
      </c>
      <c r="G34" s="37" t="s">
        <v>39</v>
      </c>
    </row>
    <row r="35">
      <c r="G35" s="36" t="s">
        <v>40</v>
      </c>
      <c r="H35" s="37" t="s">
        <v>41</v>
      </c>
    </row>
    <row r="36">
      <c r="G36" s="36" t="s">
        <v>42</v>
      </c>
      <c r="H36" s="37" t="s">
        <v>43</v>
      </c>
      <c r="M36" s="40"/>
    </row>
    <row r="37">
      <c r="F37" s="36" t="s">
        <v>44</v>
      </c>
      <c r="G37" s="37" t="s">
        <v>45</v>
      </c>
    </row>
    <row r="38">
      <c r="E38" s="38" t="s">
        <v>46</v>
      </c>
      <c r="F38" s="35" t="s">
        <v>47</v>
      </c>
    </row>
    <row r="39">
      <c r="F39" s="38" t="s">
        <v>48</v>
      </c>
      <c r="G39" s="41" t="s">
        <v>49</v>
      </c>
    </row>
    <row r="40">
      <c r="G40" s="38" t="s">
        <v>50</v>
      </c>
      <c r="H40" s="41" t="s">
        <v>51</v>
      </c>
    </row>
    <row r="41">
      <c r="G41" s="38" t="s">
        <v>52</v>
      </c>
      <c r="H41" s="41" t="s">
        <v>53</v>
      </c>
    </row>
    <row r="42">
      <c r="G42" s="38" t="s">
        <v>54</v>
      </c>
      <c r="H42" s="41" t="s">
        <v>55</v>
      </c>
    </row>
    <row r="43">
      <c r="G43" s="42" t="s">
        <v>56</v>
      </c>
      <c r="H43" s="39" t="s">
        <v>57</v>
      </c>
    </row>
    <row r="44">
      <c r="G44" s="36" t="s">
        <v>58</v>
      </c>
      <c r="H44" s="37" t="s">
        <v>59</v>
      </c>
    </row>
    <row r="45">
      <c r="H45" s="38" t="s">
        <v>60</v>
      </c>
      <c r="I45" s="35" t="s">
        <v>61</v>
      </c>
    </row>
    <row r="46">
      <c r="I46" s="38" t="s">
        <v>62</v>
      </c>
      <c r="J46" s="41" t="s">
        <v>63</v>
      </c>
    </row>
    <row r="47">
      <c r="J47" s="36" t="s">
        <v>64</v>
      </c>
      <c r="K47" s="37" t="s">
        <v>65</v>
      </c>
    </row>
    <row r="48">
      <c r="J48" s="36" t="s">
        <v>66</v>
      </c>
      <c r="K48" s="37" t="s">
        <v>67</v>
      </c>
      <c r="Q48" s="40"/>
    </row>
    <row r="49">
      <c r="H49" s="36" t="s">
        <v>68</v>
      </c>
      <c r="I49" s="37" t="s">
        <v>69</v>
      </c>
    </row>
    <row r="50">
      <c r="I50" s="36" t="s">
        <v>70</v>
      </c>
      <c r="J50" s="37" t="s">
        <v>71</v>
      </c>
    </row>
    <row r="51">
      <c r="I51" s="43" t="s">
        <v>72</v>
      </c>
      <c r="J51" s="44" t="s">
        <v>73</v>
      </c>
    </row>
    <row r="52">
      <c r="J52" s="36" t="s">
        <v>74</v>
      </c>
      <c r="K52" s="37" t="s">
        <v>75</v>
      </c>
      <c r="L52" s="40"/>
      <c r="M52" s="40"/>
      <c r="N52" s="40"/>
      <c r="O52" s="40"/>
    </row>
    <row r="53">
      <c r="J53" s="45" t="s">
        <v>76</v>
      </c>
      <c r="K53" s="44" t="s">
        <v>77</v>
      </c>
    </row>
    <row r="54">
      <c r="D54" s="38" t="s">
        <v>78</v>
      </c>
      <c r="E54" s="46" t="s">
        <v>79</v>
      </c>
    </row>
    <row r="55">
      <c r="E55" s="38" t="s">
        <v>80</v>
      </c>
      <c r="F55" s="47" t="s">
        <v>81</v>
      </c>
    </row>
    <row r="56">
      <c r="E56" s="48" t="s">
        <v>82</v>
      </c>
      <c r="F56" s="49" t="s">
        <v>83</v>
      </c>
    </row>
    <row r="57">
      <c r="F57" s="36" t="s">
        <v>84</v>
      </c>
      <c r="G57" s="37" t="s">
        <v>85</v>
      </c>
      <c r="L57" s="40"/>
    </row>
    <row r="58">
      <c r="F58" s="36" t="s">
        <v>86</v>
      </c>
      <c r="G58" s="37" t="s">
        <v>87</v>
      </c>
    </row>
    <row r="59">
      <c r="E59" s="36" t="s">
        <v>88</v>
      </c>
      <c r="F59" s="37" t="s">
        <v>89</v>
      </c>
    </row>
    <row r="60">
      <c r="C60" s="36" t="s">
        <v>90</v>
      </c>
      <c r="D60" s="37" t="s">
        <v>91</v>
      </c>
    </row>
    <row r="61">
      <c r="C61" s="36" t="s">
        <v>92</v>
      </c>
      <c r="D61" s="37" t="s">
        <v>93</v>
      </c>
    </row>
    <row r="62">
      <c r="C62" s="38" t="s">
        <v>94</v>
      </c>
      <c r="D62" s="39" t="s">
        <v>95</v>
      </c>
    </row>
    <row r="63">
      <c r="C63" s="36" t="s">
        <v>96</v>
      </c>
      <c r="D63" s="37" t="s">
        <v>97</v>
      </c>
    </row>
    <row r="64">
      <c r="D64" s="38" t="s">
        <v>98</v>
      </c>
      <c r="E64" s="35" t="s">
        <v>99</v>
      </c>
    </row>
    <row r="65">
      <c r="B65" s="38" t="s">
        <v>100</v>
      </c>
      <c r="C65" s="39" t="s">
        <v>101</v>
      </c>
    </row>
    <row r="66">
      <c r="C66" s="36" t="s">
        <v>102</v>
      </c>
      <c r="D66" s="37" t="s">
        <v>103</v>
      </c>
    </row>
    <row r="67">
      <c r="C67" s="36" t="s">
        <v>104</v>
      </c>
      <c r="D67" s="37" t="s">
        <v>105</v>
      </c>
    </row>
    <row r="68">
      <c r="B68" s="36" t="s">
        <v>106</v>
      </c>
      <c r="C68" s="37" t="s">
        <v>107</v>
      </c>
    </row>
    <row r="69">
      <c r="B69" s="45" t="s">
        <v>108</v>
      </c>
      <c r="C69" s="44" t="s">
        <v>109</v>
      </c>
    </row>
    <row r="71">
      <c r="A71" s="1"/>
      <c r="B71" s="50" t="s">
        <v>110</v>
      </c>
      <c r="C71" s="51"/>
      <c r="D71" s="51"/>
      <c r="E71" s="51"/>
      <c r="F71" s="51"/>
      <c r="G71" s="52"/>
      <c r="H71" s="1"/>
      <c r="I71" s="1"/>
      <c r="J71" s="1"/>
      <c r="K71" s="1"/>
      <c r="L71" s="1"/>
      <c r="M71" s="1"/>
      <c r="N71" s="1"/>
      <c r="O71" s="1"/>
      <c r="P71" s="1"/>
      <c r="Q71" s="1"/>
      <c r="R71" s="1"/>
      <c r="S71" s="1"/>
      <c r="T71" s="1"/>
      <c r="U71" s="1"/>
      <c r="V71" s="1"/>
      <c r="W71" s="1"/>
      <c r="X71" s="1"/>
      <c r="Y71" s="1"/>
      <c r="Z71" s="1"/>
      <c r="AA71" s="1"/>
    </row>
    <row r="72">
      <c r="A72" s="53"/>
    </row>
    <row r="73">
      <c r="A73" s="53" t="s">
        <v>111</v>
      </c>
    </row>
    <row r="74">
      <c r="A74" s="54" t="s">
        <v>112</v>
      </c>
    </row>
    <row r="77">
      <c r="A77" s="55" t="s">
        <v>113</v>
      </c>
    </row>
    <row r="79">
      <c r="A79" s="56" t="s">
        <v>114</v>
      </c>
    </row>
    <row r="80">
      <c r="A80" s="35"/>
      <c r="C80" s="35"/>
    </row>
    <row r="81">
      <c r="A81" s="57" t="s">
        <v>115</v>
      </c>
      <c r="B81" s="58"/>
      <c r="C81" s="57" t="s">
        <v>116</v>
      </c>
    </row>
    <row r="82">
      <c r="A82" s="54" t="s">
        <v>117</v>
      </c>
      <c r="B82" s="58"/>
      <c r="C82" s="57" t="s">
        <v>118</v>
      </c>
    </row>
    <row r="83">
      <c r="A83" s="54" t="s">
        <v>119</v>
      </c>
      <c r="B83" s="58"/>
      <c r="C83" s="57" t="s">
        <v>120</v>
      </c>
    </row>
    <row r="84">
      <c r="A84" s="54" t="s">
        <v>80</v>
      </c>
      <c r="B84" s="58"/>
      <c r="C84" s="57" t="s">
        <v>121</v>
      </c>
    </row>
    <row r="85">
      <c r="A85" s="54" t="s">
        <v>122</v>
      </c>
      <c r="B85" s="58"/>
      <c r="C85" s="57" t="s">
        <v>123</v>
      </c>
    </row>
    <row r="86">
      <c r="A86" s="54" t="s">
        <v>124</v>
      </c>
      <c r="B86" s="58"/>
      <c r="C86" s="57" t="s">
        <v>89</v>
      </c>
    </row>
    <row r="87">
      <c r="A87" s="54" t="s">
        <v>125</v>
      </c>
      <c r="B87" s="58"/>
      <c r="C87" s="57" t="s">
        <v>126</v>
      </c>
    </row>
    <row r="88">
      <c r="A88" s="54" t="s">
        <v>94</v>
      </c>
      <c r="B88" s="58"/>
      <c r="C88" s="57" t="s">
        <v>127</v>
      </c>
    </row>
    <row r="89">
      <c r="A89" s="54" t="s">
        <v>100</v>
      </c>
      <c r="B89" s="58"/>
      <c r="C89" s="57" t="s">
        <v>128</v>
      </c>
    </row>
    <row r="90">
      <c r="A90" s="54" t="s">
        <v>129</v>
      </c>
      <c r="B90" s="58"/>
      <c r="C90" s="57" t="s">
        <v>130</v>
      </c>
    </row>
    <row r="91">
      <c r="A91" s="54" t="s">
        <v>131</v>
      </c>
      <c r="B91" s="58"/>
      <c r="C91" s="57" t="s">
        <v>132</v>
      </c>
    </row>
    <row r="92">
      <c r="A92" s="54" t="s">
        <v>133</v>
      </c>
      <c r="B92" s="58"/>
      <c r="C92" s="57" t="s">
        <v>133</v>
      </c>
      <c r="D92" s="57" t="s">
        <v>133</v>
      </c>
      <c r="E92" s="57"/>
    </row>
    <row r="94">
      <c r="A94" s="56" t="s">
        <v>134</v>
      </c>
    </row>
    <row r="96">
      <c r="A96" s="59" t="s">
        <v>135</v>
      </c>
      <c r="B96" s="60"/>
      <c r="C96" s="60"/>
      <c r="D96" s="60"/>
      <c r="E96" s="60"/>
      <c r="F96" s="60"/>
      <c r="G96" s="60"/>
      <c r="H96" s="60"/>
      <c r="I96" s="60"/>
      <c r="J96" s="60"/>
      <c r="K96" s="60"/>
      <c r="L96" s="60"/>
      <c r="M96" s="60"/>
      <c r="N96" s="60"/>
      <c r="O96" s="60"/>
      <c r="P96" s="60"/>
      <c r="Q96" s="60"/>
      <c r="R96" s="60"/>
      <c r="S96" s="60"/>
      <c r="T96" s="60"/>
      <c r="U96" s="60"/>
      <c r="V96" s="60"/>
      <c r="W96" s="60"/>
      <c r="X96" s="60"/>
      <c r="Y96" s="60"/>
      <c r="Z96" s="60"/>
      <c r="AA96" s="60"/>
    </row>
    <row r="97">
      <c r="A97" s="61" t="str">
        <f>HYPERLINK("http://science.sciencemag.org/content/357/6356/1160","Bergstrom et al, A Neolithic Expansion, but Strong Genetic Structure, in the Independent History of New Guinea Science, 357:1160-1163 (2017).Cox M P &amp; Lahr M M, Y-Chromosome Diversity Is Inversely Associated with Language Affiliation in Paired Austronesia"&amp;"n- and Papuan-Speaking Communities from Solomon Islands. (pdf) American Journal of Human Biology, 18:35-50, 2006.")</f>
        <v>Bergstrom et al, A Neolithic Expansion, but Strong Genetic Structure, in the Independent History of New Guinea Science, 357:1160-1163 (2017).Cox M P &amp; Lahr M M, Y-Chromosome Diversity Is Inversely Associated with Language Affiliation in Paired Austronesian- and Papuan-Speaking Communities from Solomon Islands. (pdf) American Journal of Human Biology, 18:35-50, 2006.</v>
      </c>
      <c r="B97" s="60"/>
      <c r="C97" s="60"/>
      <c r="D97" s="60"/>
      <c r="E97" s="60"/>
      <c r="F97" s="60"/>
      <c r="G97" s="60"/>
      <c r="H97" s="60"/>
      <c r="I97" s="60"/>
      <c r="J97" s="60"/>
      <c r="K97" s="60"/>
      <c r="L97" s="60"/>
      <c r="M97" s="60"/>
      <c r="N97" s="60"/>
      <c r="O97" s="60"/>
      <c r="P97" s="60"/>
      <c r="Q97" s="60"/>
      <c r="R97" s="60"/>
      <c r="S97" s="60"/>
      <c r="T97" s="60"/>
      <c r="U97" s="60"/>
      <c r="V97" s="60"/>
      <c r="W97" s="60"/>
      <c r="X97" s="60"/>
      <c r="Y97" s="60"/>
      <c r="Z97" s="60"/>
      <c r="AA97" s="60"/>
    </row>
    <row r="98">
      <c r="A98" s="61" t="str">
        <f>HYPERLINK("https://genome.cshlp.org/content/early/2008/04/02/gr.7172008.abstract","Karafet et al, New Binary Polymorphisms Reshape and Increase Resolution of the Human Y-Chromosomal Haplogroup Tree. Abstract. Genome Research, published online April 2, 2008. Supplementary Material.")</f>
        <v>Karafet et al, New Binary Polymorphisms Reshape and Increase Resolution of the Human Y-Chromosomal Haplogroup Tree. Abstract. Genome Research, published online April 2, 2008. Supplementary Material.</v>
      </c>
      <c r="B98" s="60"/>
      <c r="C98" s="60"/>
      <c r="D98" s="60"/>
      <c r="E98" s="60"/>
      <c r="F98" s="60"/>
      <c r="G98" s="60"/>
      <c r="H98" s="60"/>
      <c r="I98" s="60"/>
      <c r="J98" s="60"/>
      <c r="K98" s="60"/>
      <c r="L98" s="60"/>
      <c r="M98" s="60"/>
      <c r="N98" s="60"/>
      <c r="O98" s="60"/>
      <c r="P98" s="60"/>
      <c r="Q98" s="60"/>
      <c r="R98" s="60"/>
      <c r="S98" s="60"/>
      <c r="T98" s="60"/>
      <c r="U98" s="60"/>
      <c r="V98" s="60"/>
      <c r="W98" s="60"/>
      <c r="X98" s="60"/>
      <c r="Y98" s="60"/>
      <c r="Z98" s="60"/>
      <c r="AA98" s="60"/>
    </row>
    <row r="99">
      <c r="A99" s="59" t="s">
        <v>136</v>
      </c>
      <c r="B99" s="60"/>
      <c r="C99" s="60"/>
      <c r="D99" s="60"/>
      <c r="E99" s="60"/>
      <c r="F99" s="60"/>
      <c r="G99" s="60"/>
      <c r="H99" s="60"/>
      <c r="I99" s="60"/>
      <c r="J99" s="60"/>
      <c r="K99" s="60"/>
      <c r="L99" s="60"/>
      <c r="M99" s="60"/>
      <c r="N99" s="60"/>
      <c r="O99" s="60"/>
      <c r="P99" s="60"/>
      <c r="Q99" s="60"/>
      <c r="R99" s="60"/>
      <c r="S99" s="60"/>
      <c r="T99" s="60"/>
      <c r="U99" s="60"/>
      <c r="V99" s="60"/>
      <c r="W99" s="60"/>
      <c r="X99" s="60"/>
      <c r="Y99" s="60"/>
      <c r="Z99" s="60"/>
      <c r="AA99" s="60"/>
    </row>
    <row r="100">
      <c r="A100" s="59" t="s">
        <v>137</v>
      </c>
      <c r="B100" s="60"/>
      <c r="C100" s="60"/>
      <c r="D100" s="60"/>
      <c r="E100" s="60"/>
      <c r="F100" s="60"/>
      <c r="G100" s="60"/>
      <c r="H100" s="60"/>
      <c r="I100" s="60"/>
      <c r="J100" s="60"/>
      <c r="K100" s="60"/>
      <c r="L100" s="60"/>
      <c r="M100" s="60"/>
      <c r="N100" s="60"/>
      <c r="O100" s="60"/>
      <c r="P100" s="60"/>
      <c r="Q100" s="60"/>
      <c r="R100" s="60"/>
      <c r="S100" s="60"/>
      <c r="T100" s="60"/>
      <c r="U100" s="60"/>
      <c r="V100" s="60"/>
      <c r="W100" s="60"/>
      <c r="X100" s="60"/>
      <c r="Y100" s="60"/>
      <c r="Z100" s="60"/>
      <c r="AA100" s="60"/>
    </row>
    <row r="101">
      <c r="A101" s="59" t="s">
        <v>138</v>
      </c>
      <c r="B101" s="60"/>
      <c r="C101" s="60"/>
      <c r="D101" s="60"/>
      <c r="E101" s="60"/>
      <c r="F101" s="60"/>
      <c r="G101" s="60"/>
      <c r="H101" s="60"/>
      <c r="I101" s="60"/>
      <c r="J101" s="60"/>
      <c r="K101" s="60"/>
      <c r="L101" s="60"/>
      <c r="M101" s="60"/>
      <c r="N101" s="60"/>
      <c r="O101" s="60"/>
      <c r="P101" s="60"/>
      <c r="Q101" s="60"/>
      <c r="R101" s="60"/>
      <c r="S101" s="60"/>
      <c r="T101" s="60"/>
      <c r="U101" s="60"/>
      <c r="V101" s="60"/>
      <c r="W101" s="60"/>
      <c r="X101" s="60"/>
      <c r="Y101" s="60"/>
      <c r="Z101" s="60"/>
      <c r="AA101" s="60"/>
    </row>
    <row r="102">
      <c r="A102" s="59" t="s">
        <v>139</v>
      </c>
      <c r="B102" s="60"/>
      <c r="C102" s="60"/>
      <c r="D102" s="60"/>
      <c r="E102" s="60"/>
      <c r="F102" s="60"/>
      <c r="G102" s="60"/>
      <c r="H102" s="60"/>
      <c r="I102" s="60"/>
      <c r="J102" s="60"/>
      <c r="K102" s="60"/>
      <c r="L102" s="60"/>
      <c r="M102" s="60"/>
      <c r="N102" s="60"/>
      <c r="O102" s="60"/>
      <c r="P102" s="60"/>
      <c r="Q102" s="60"/>
      <c r="R102" s="60"/>
      <c r="S102" s="60"/>
      <c r="T102" s="60"/>
      <c r="U102" s="60"/>
      <c r="V102" s="60"/>
      <c r="W102" s="60"/>
      <c r="X102" s="60"/>
      <c r="Y102" s="60"/>
      <c r="Z102" s="60"/>
      <c r="AA102" s="60"/>
    </row>
    <row r="103">
      <c r="A103" s="61" t="str">
        <f>HYPERLINK("https://www.nature.com/articles/s41598-018-20020-0","Kutanan et al, Contrasting Maternal and Paternal Genetic Variation of Hunter-Gather Groups in Thailand, Scientific Reports, 8: # 1536 (2018)")</f>
        <v>Kutanan et al, Contrasting Maternal and Paternal Genetic Variation of Hunter-Gather Groups in Thailand, Scientific Reports, 8: # 1536 (2018)</v>
      </c>
      <c r="B103" s="60"/>
      <c r="C103" s="60"/>
      <c r="D103" s="60"/>
      <c r="E103" s="60"/>
      <c r="F103" s="60"/>
      <c r="G103" s="60"/>
      <c r="H103" s="60"/>
      <c r="I103" s="60"/>
      <c r="J103" s="60"/>
      <c r="K103" s="60"/>
      <c r="L103" s="60"/>
      <c r="M103" s="60"/>
      <c r="N103" s="60"/>
      <c r="O103" s="60"/>
      <c r="P103" s="60"/>
      <c r="Q103" s="60"/>
      <c r="R103" s="60"/>
      <c r="S103" s="60"/>
      <c r="T103" s="60"/>
      <c r="U103" s="60"/>
      <c r="V103" s="60"/>
      <c r="W103" s="60"/>
      <c r="X103" s="60"/>
      <c r="Y103" s="60"/>
      <c r="Z103" s="60"/>
      <c r="AA103" s="60"/>
    </row>
    <row r="104">
      <c r="A104" s="59" t="s">
        <v>140</v>
      </c>
      <c r="B104" s="60"/>
      <c r="C104" s="60"/>
      <c r="D104" s="60"/>
      <c r="E104" s="60"/>
      <c r="F104" s="60"/>
      <c r="G104" s="60"/>
      <c r="H104" s="60"/>
      <c r="I104" s="60"/>
      <c r="J104" s="60"/>
      <c r="K104" s="60"/>
      <c r="L104" s="60"/>
      <c r="M104" s="60"/>
      <c r="N104" s="60"/>
      <c r="O104" s="60"/>
      <c r="P104" s="60"/>
      <c r="Q104" s="60"/>
      <c r="R104" s="60"/>
      <c r="S104" s="60"/>
      <c r="T104" s="60"/>
      <c r="U104" s="60"/>
      <c r="V104" s="60"/>
      <c r="W104" s="60"/>
      <c r="X104" s="60"/>
      <c r="Y104" s="60"/>
      <c r="Z104" s="60"/>
      <c r="AA104" s="60"/>
    </row>
    <row r="105">
      <c r="A105" s="59" t="s">
        <v>141</v>
      </c>
      <c r="B105" s="60"/>
      <c r="C105" s="60"/>
      <c r="D105" s="60"/>
      <c r="E105" s="60"/>
      <c r="F105" s="60"/>
      <c r="G105" s="60"/>
      <c r="H105" s="60"/>
      <c r="I105" s="60"/>
      <c r="J105" s="60"/>
      <c r="K105" s="60"/>
      <c r="L105" s="60"/>
      <c r="M105" s="60"/>
      <c r="N105" s="60"/>
      <c r="O105" s="60"/>
      <c r="P105" s="60"/>
      <c r="Q105" s="60"/>
      <c r="R105" s="60"/>
      <c r="S105" s="60"/>
      <c r="T105" s="60"/>
      <c r="U105" s="60"/>
      <c r="V105" s="60"/>
      <c r="W105" s="60"/>
      <c r="X105" s="60"/>
      <c r="Y105" s="60"/>
      <c r="Z105" s="60"/>
      <c r="AA105" s="60"/>
    </row>
    <row r="107">
      <c r="A107" s="56" t="s">
        <v>142</v>
      </c>
    </row>
    <row r="108">
      <c r="A108" s="59" t="s">
        <v>143</v>
      </c>
      <c r="B108" s="60"/>
      <c r="C108" s="60"/>
      <c r="D108" s="60"/>
      <c r="E108" s="60"/>
      <c r="F108" s="60"/>
      <c r="G108" s="60"/>
      <c r="H108" s="60"/>
      <c r="I108" s="60"/>
      <c r="J108" s="60"/>
      <c r="K108" s="60"/>
      <c r="L108" s="60"/>
      <c r="M108" s="60"/>
      <c r="N108" s="60"/>
      <c r="O108" s="60"/>
      <c r="P108" s="60"/>
      <c r="Q108" s="60"/>
      <c r="R108" s="60"/>
      <c r="S108" s="60"/>
      <c r="T108" s="60"/>
      <c r="U108" s="60"/>
      <c r="V108" s="60"/>
      <c r="W108" s="60"/>
      <c r="X108" s="60"/>
      <c r="Y108" s="60"/>
      <c r="Z108" s="60"/>
      <c r="AA108" s="60"/>
    </row>
    <row r="110">
      <c r="A110" s="56" t="s">
        <v>144</v>
      </c>
    </row>
    <row r="112">
      <c r="A112" s="35" t="s">
        <v>145</v>
      </c>
    </row>
    <row r="113">
      <c r="A113" s="35"/>
      <c r="B113" s="62" t="s">
        <v>146</v>
      </c>
    </row>
    <row r="114">
      <c r="A114" s="35" t="s">
        <v>147</v>
      </c>
      <c r="B114" s="62"/>
    </row>
    <row r="115">
      <c r="A115" s="35"/>
      <c r="B115" s="62" t="s">
        <v>148</v>
      </c>
    </row>
    <row r="116">
      <c r="A116" s="35"/>
      <c r="B116" s="62" t="s">
        <v>149</v>
      </c>
    </row>
    <row r="117">
      <c r="A117" s="35"/>
      <c r="B117" s="62" t="s">
        <v>150</v>
      </c>
    </row>
    <row r="118">
      <c r="A118" s="35"/>
      <c r="B118" s="62" t="s">
        <v>151</v>
      </c>
    </row>
    <row r="119">
      <c r="A119" s="35"/>
      <c r="B119" s="62" t="s">
        <v>152</v>
      </c>
    </row>
    <row r="120">
      <c r="A120" s="35"/>
      <c r="B120" s="62" t="s">
        <v>153</v>
      </c>
    </row>
    <row r="121">
      <c r="A121" s="35"/>
      <c r="B121" s="62" t="s">
        <v>154</v>
      </c>
    </row>
    <row r="122">
      <c r="A122" s="35"/>
      <c r="B122" s="62" t="s">
        <v>155</v>
      </c>
    </row>
    <row r="123">
      <c r="A123" s="35"/>
      <c r="B123" s="62" t="s">
        <v>156</v>
      </c>
    </row>
    <row r="124">
      <c r="A124" s="35"/>
      <c r="B124" s="62" t="s">
        <v>157</v>
      </c>
    </row>
    <row r="125">
      <c r="A125" s="35"/>
      <c r="B125" s="62" t="s">
        <v>158</v>
      </c>
    </row>
    <row r="126">
      <c r="A126" s="35"/>
      <c r="B126" s="62" t="s">
        <v>159</v>
      </c>
    </row>
    <row r="127">
      <c r="A127" s="35"/>
      <c r="B127" s="62" t="s">
        <v>160</v>
      </c>
    </row>
    <row r="128">
      <c r="A128" s="35" t="s">
        <v>161</v>
      </c>
      <c r="B128" s="62"/>
    </row>
    <row r="129">
      <c r="A129" s="35"/>
      <c r="B129" s="62" t="s">
        <v>162</v>
      </c>
    </row>
    <row r="130">
      <c r="A130" s="35"/>
      <c r="B130" s="62" t="s">
        <v>163</v>
      </c>
    </row>
    <row r="131">
      <c r="A131" s="35"/>
      <c r="B131" s="62" t="s">
        <v>164</v>
      </c>
    </row>
    <row r="132">
      <c r="A132" s="35"/>
      <c r="B132" s="62" t="s">
        <v>165</v>
      </c>
    </row>
    <row r="133">
      <c r="A133" s="35"/>
      <c r="B133" s="62" t="s">
        <v>166</v>
      </c>
    </row>
    <row r="134">
      <c r="A134" s="35"/>
      <c r="B134" s="62" t="s">
        <v>167</v>
      </c>
    </row>
    <row r="135">
      <c r="A135" s="35"/>
      <c r="B135" s="62" t="s">
        <v>168</v>
      </c>
    </row>
    <row r="136">
      <c r="A136" s="35"/>
      <c r="B136" s="62" t="s">
        <v>169</v>
      </c>
    </row>
    <row r="137">
      <c r="A137" s="35"/>
      <c r="B137" s="62" t="s">
        <v>170</v>
      </c>
    </row>
    <row r="138">
      <c r="A138" s="35"/>
      <c r="B138" s="62" t="s">
        <v>171</v>
      </c>
    </row>
    <row r="139">
      <c r="A139" s="35"/>
      <c r="B139" s="62" t="s">
        <v>172</v>
      </c>
    </row>
    <row r="140">
      <c r="A140" s="35"/>
      <c r="B140" s="62" t="s">
        <v>173</v>
      </c>
    </row>
    <row r="141">
      <c r="A141" s="35"/>
      <c r="B141" s="62" t="s">
        <v>174</v>
      </c>
    </row>
    <row r="142">
      <c r="B142" s="62" t="s">
        <v>175</v>
      </c>
    </row>
    <row r="143">
      <c r="B143" s="62" t="s">
        <v>176</v>
      </c>
    </row>
    <row r="144">
      <c r="B144" s="62" t="s">
        <v>177</v>
      </c>
    </row>
    <row r="145">
      <c r="B145" s="62" t="s">
        <v>178</v>
      </c>
    </row>
    <row r="146">
      <c r="B146" s="62" t="s">
        <v>179</v>
      </c>
    </row>
    <row r="147">
      <c r="B147" s="35" t="s">
        <v>180</v>
      </c>
    </row>
    <row r="148">
      <c r="A148" s="35" t="s">
        <v>181</v>
      </c>
      <c r="B148" s="35"/>
    </row>
    <row r="149">
      <c r="A149" s="35" t="s">
        <v>182</v>
      </c>
      <c r="B149" s="35"/>
    </row>
    <row r="150">
      <c r="A150" s="35"/>
      <c r="B150" s="62" t="s">
        <v>183</v>
      </c>
    </row>
    <row r="151">
      <c r="A151" s="35"/>
      <c r="B151" s="62" t="s">
        <v>184</v>
      </c>
    </row>
    <row r="152">
      <c r="A152" s="35"/>
      <c r="B152" s="62" t="s">
        <v>185</v>
      </c>
    </row>
    <row r="153">
      <c r="A153" s="35"/>
      <c r="B153" s="62" t="s">
        <v>186</v>
      </c>
    </row>
    <row r="154">
      <c r="A154" s="35"/>
      <c r="B154" s="62" t="s">
        <v>187</v>
      </c>
    </row>
    <row r="155">
      <c r="A155" s="35"/>
      <c r="B155" s="62" t="s">
        <v>188</v>
      </c>
    </row>
    <row r="156">
      <c r="A156" s="35"/>
      <c r="B156" s="62" t="s">
        <v>189</v>
      </c>
    </row>
    <row r="157">
      <c r="A157" s="35"/>
      <c r="B157" s="62" t="s">
        <v>190</v>
      </c>
    </row>
    <row r="158">
      <c r="A158" s="35"/>
      <c r="B158" s="62" t="s">
        <v>191</v>
      </c>
    </row>
    <row r="159">
      <c r="A159" s="35"/>
      <c r="B159" s="62" t="s">
        <v>192</v>
      </c>
    </row>
    <row r="160">
      <c r="A160" s="35"/>
      <c r="B160" s="62" t="s">
        <v>193</v>
      </c>
    </row>
    <row r="161">
      <c r="A161" s="35"/>
      <c r="B161" s="62" t="s">
        <v>194</v>
      </c>
    </row>
    <row r="162">
      <c r="A162" s="35"/>
      <c r="B162" s="62" t="s">
        <v>195</v>
      </c>
    </row>
    <row r="163">
      <c r="A163" s="35"/>
      <c r="B163" s="62" t="s">
        <v>196</v>
      </c>
    </row>
    <row r="164">
      <c r="A164" s="35"/>
      <c r="B164" s="62" t="s">
        <v>197</v>
      </c>
    </row>
    <row r="165">
      <c r="A165" s="35" t="s">
        <v>198</v>
      </c>
      <c r="B165" s="62"/>
    </row>
    <row r="166">
      <c r="A166" s="63" t="s">
        <v>199</v>
      </c>
      <c r="B166" s="62"/>
    </row>
    <row r="168">
      <c r="A168" s="64" t="s">
        <v>200</v>
      </c>
    </row>
    <row r="169">
      <c r="A169" s="65" t="str">
        <f>HYPERLINK("https://docs.google.com/spreadsheets/d/1Y0GXjhazYa46u0EpPA9b0Y0RVWuh5lDzww_o979mbjQ/edit#gid=1904113265","Back to Y-DNA Tree Trunk")</f>
        <v>Back to Y-DNA Tree Trunk</v>
      </c>
    </row>
    <row r="170">
      <c r="A170" s="64" t="s">
        <v>201</v>
      </c>
    </row>
    <row r="171">
      <c r="A171" s="64" t="s">
        <v>202</v>
      </c>
    </row>
    <row r="172">
      <c r="A172" s="64" t="s">
        <v>203</v>
      </c>
    </row>
    <row r="173">
      <c r="A173" s="65" t="str">
        <f>HYPERLINK("https://docs.google.com/spreadsheets/d/1yjXfo8_vfVNzp-yfYoBQLQK8gzqJg5nNtuTTD1RrFS4/edit#gid=0","Back to Listing Criteria")</f>
        <v>Back to Listing Criteria</v>
      </c>
    </row>
    <row r="175">
      <c r="A175" s="54" t="s">
        <v>204</v>
      </c>
    </row>
    <row r="181">
      <c r="C181" s="66"/>
      <c r="D181" s="67"/>
      <c r="E181" s="67"/>
      <c r="F181" s="67"/>
      <c r="G181" s="67"/>
      <c r="H181" s="67"/>
      <c r="I181" s="67"/>
      <c r="J181" s="67"/>
    </row>
    <row r="182">
      <c r="A182" s="68" t="s">
        <v>205</v>
      </c>
      <c r="B182" s="69"/>
      <c r="C182" s="69"/>
      <c r="D182" s="69"/>
      <c r="E182" s="70"/>
    </row>
    <row r="183">
      <c r="J183" s="71" t="s">
        <v>206</v>
      </c>
      <c r="K183" s="5"/>
      <c r="L183" s="5"/>
      <c r="M183" s="5"/>
      <c r="N183" s="5"/>
      <c r="O183" s="5"/>
      <c r="P183" s="1"/>
    </row>
    <row r="184">
      <c r="J184" s="1" t="s">
        <v>207</v>
      </c>
      <c r="K184" s="1" t="s">
        <v>208</v>
      </c>
      <c r="L184" s="1" t="s">
        <v>209</v>
      </c>
      <c r="M184" s="1" t="s">
        <v>210</v>
      </c>
      <c r="N184" s="1" t="s">
        <v>211</v>
      </c>
      <c r="O184" s="1" t="s">
        <v>212</v>
      </c>
      <c r="P184" s="1" t="s">
        <v>213</v>
      </c>
    </row>
    <row r="185">
      <c r="J185" s="35" t="s">
        <v>214</v>
      </c>
      <c r="K185" t="str">
        <f>A27</f>
        <v>S</v>
      </c>
      <c r="M185" s="72" t="s">
        <v>215</v>
      </c>
      <c r="N185" s="35">
        <v>1.410258E7</v>
      </c>
      <c r="O185" s="35">
        <v>1.1981874E7</v>
      </c>
      <c r="P185" s="35" t="s">
        <v>216</v>
      </c>
    </row>
    <row r="186">
      <c r="J186" s="35" t="s">
        <v>217</v>
      </c>
      <c r="K186" t="str">
        <f>A27</f>
        <v>S</v>
      </c>
      <c r="M186" s="73" t="s">
        <v>218</v>
      </c>
      <c r="N186" s="35">
        <v>1.6552418E7</v>
      </c>
      <c r="O186" s="35">
        <v>1.4440538E7</v>
      </c>
      <c r="P186" s="35" t="s">
        <v>219</v>
      </c>
    </row>
    <row r="187">
      <c r="J187" s="35" t="s">
        <v>27</v>
      </c>
      <c r="K187" t="str">
        <f>B28</f>
        <v>S1</v>
      </c>
      <c r="M187" s="73" t="s">
        <v>220</v>
      </c>
      <c r="N187" s="35">
        <v>2.1984729E7</v>
      </c>
      <c r="O187" s="35">
        <v>1.9822843E7</v>
      </c>
      <c r="P187" s="35" t="s">
        <v>221</v>
      </c>
    </row>
    <row r="188">
      <c r="J188" s="35" t="s">
        <v>222</v>
      </c>
      <c r="K188" t="str">
        <f>C29</f>
        <v>S1a </v>
      </c>
      <c r="M188" s="73" t="s">
        <v>223</v>
      </c>
      <c r="N188" s="74">
        <v>6718042.0</v>
      </c>
      <c r="O188" s="75">
        <v>6850001.0</v>
      </c>
      <c r="P188" s="76" t="s">
        <v>224</v>
      </c>
    </row>
    <row r="189">
      <c r="J189" s="35" t="s">
        <v>225</v>
      </c>
      <c r="K189" t="str">
        <f>C29</f>
        <v>S1a </v>
      </c>
      <c r="M189" s="73" t="s">
        <v>226</v>
      </c>
      <c r="N189" s="74">
        <v>8599643.0</v>
      </c>
      <c r="O189" s="75">
        <v>8731602.0</v>
      </c>
      <c r="P189" s="76" t="s">
        <v>219</v>
      </c>
    </row>
    <row r="190">
      <c r="J190" s="35" t="s">
        <v>227</v>
      </c>
      <c r="K190" t="str">
        <f>C29</f>
        <v>S1a </v>
      </c>
      <c r="M190" s="73" t="s">
        <v>228</v>
      </c>
      <c r="N190" s="74">
        <v>1.441942E7</v>
      </c>
      <c r="O190" s="75">
        <v>1.2298695E7</v>
      </c>
      <c r="P190" s="76" t="s">
        <v>229</v>
      </c>
    </row>
    <row r="191">
      <c r="J191" s="35" t="s">
        <v>230</v>
      </c>
      <c r="K191" t="str">
        <f>C29</f>
        <v>S1a </v>
      </c>
      <c r="M191" s="73" t="s">
        <v>231</v>
      </c>
      <c r="N191" s="74">
        <v>1.7151512E7</v>
      </c>
      <c r="O191" s="75">
        <v>1.5039632E7</v>
      </c>
      <c r="P191" s="76" t="s">
        <v>232</v>
      </c>
    </row>
    <row r="192">
      <c r="J192" s="35" t="s">
        <v>233</v>
      </c>
      <c r="K192" t="str">
        <f>C29</f>
        <v>S1a </v>
      </c>
      <c r="M192" s="77" t="s">
        <v>234</v>
      </c>
      <c r="N192" s="74">
        <v>1.7800094E7</v>
      </c>
      <c r="O192" s="75">
        <v>1.5688214E7</v>
      </c>
      <c r="P192" s="76" t="s">
        <v>235</v>
      </c>
    </row>
    <row r="193">
      <c r="J193" s="35" t="s">
        <v>236</v>
      </c>
      <c r="K193" t="str">
        <f>C29</f>
        <v>S1a </v>
      </c>
      <c r="M193" s="73" t="s">
        <v>237</v>
      </c>
      <c r="N193" s="74">
        <v>1.8634999E7</v>
      </c>
      <c r="O193" s="75">
        <v>1.6523119E7</v>
      </c>
      <c r="P193" s="76" t="s">
        <v>219</v>
      </c>
    </row>
    <row r="194">
      <c r="J194" s="35" t="s">
        <v>238</v>
      </c>
      <c r="K194" t="str">
        <f t="shared" ref="K194:K195" si="1">C29</f>
        <v>S1a </v>
      </c>
      <c r="M194" s="73" t="s">
        <v>239</v>
      </c>
      <c r="N194" s="74">
        <v>2.161265E7</v>
      </c>
      <c r="O194" s="75">
        <v>1.9450764E7</v>
      </c>
      <c r="P194" s="76" t="s">
        <v>232</v>
      </c>
    </row>
    <row r="195">
      <c r="J195" s="35" t="s">
        <v>240</v>
      </c>
      <c r="K195" t="str">
        <f t="shared" si="1"/>
        <v>S1a~</v>
      </c>
      <c r="M195" s="73" t="s">
        <v>241</v>
      </c>
      <c r="N195" s="78">
        <v>8391108.0</v>
      </c>
      <c r="O195" s="78">
        <v>8523067.0</v>
      </c>
      <c r="P195" s="78" t="s">
        <v>242</v>
      </c>
      <c r="Q195" s="35"/>
    </row>
    <row r="196">
      <c r="J196" s="35" t="s">
        <v>243</v>
      </c>
      <c r="K196" t="str">
        <f>C30</f>
        <v>S1a~</v>
      </c>
      <c r="M196" s="79" t="s">
        <v>244</v>
      </c>
      <c r="N196" s="79">
        <v>1.3938612E7</v>
      </c>
      <c r="O196" s="79">
        <v>1.1817906E7</v>
      </c>
      <c r="P196" s="79" t="s">
        <v>221</v>
      </c>
    </row>
    <row r="197">
      <c r="J197" s="35" t="s">
        <v>245</v>
      </c>
      <c r="K197" t="str">
        <f>D31</f>
        <v>S1a1 </v>
      </c>
      <c r="M197" s="73" t="s">
        <v>246</v>
      </c>
      <c r="N197" s="79">
        <v>7389972.0</v>
      </c>
      <c r="O197" s="75">
        <v>7521931.0</v>
      </c>
      <c r="P197" s="80" t="s">
        <v>232</v>
      </c>
      <c r="Q197" s="35" t="s">
        <v>133</v>
      </c>
    </row>
    <row r="198">
      <c r="J198" s="35" t="s">
        <v>247</v>
      </c>
      <c r="K198" t="str">
        <f>D31</f>
        <v>S1a1 </v>
      </c>
      <c r="M198" s="73" t="s">
        <v>248</v>
      </c>
      <c r="N198" s="75">
        <v>7728743.0</v>
      </c>
      <c r="O198" s="75">
        <v>7860702.0</v>
      </c>
      <c r="P198" s="80" t="s">
        <v>229</v>
      </c>
    </row>
    <row r="199">
      <c r="J199" s="35" t="s">
        <v>249</v>
      </c>
      <c r="K199" t="str">
        <f>D31</f>
        <v>S1a1 </v>
      </c>
      <c r="M199" s="73" t="s">
        <v>250</v>
      </c>
      <c r="N199" s="74">
        <v>7969352.0</v>
      </c>
      <c r="O199" s="75">
        <v>8101311.0</v>
      </c>
      <c r="P199" s="80" t="s">
        <v>232</v>
      </c>
    </row>
    <row r="200">
      <c r="J200" s="35" t="s">
        <v>251</v>
      </c>
      <c r="K200" t="str">
        <f>D31</f>
        <v>S1a1 </v>
      </c>
      <c r="M200" s="73" t="s">
        <v>252</v>
      </c>
      <c r="N200" s="75">
        <v>7982583.0</v>
      </c>
      <c r="O200" s="75">
        <v>8114542.0</v>
      </c>
      <c r="P200" s="80" t="s">
        <v>242</v>
      </c>
    </row>
    <row r="201">
      <c r="J201" s="35" t="s">
        <v>253</v>
      </c>
      <c r="K201" t="str">
        <f>D31</f>
        <v>S1a1 </v>
      </c>
      <c r="M201" s="73" t="s">
        <v>254</v>
      </c>
      <c r="N201" s="75">
        <v>1.6241535E7</v>
      </c>
      <c r="O201" s="75">
        <v>1.4129655E7</v>
      </c>
      <c r="P201" s="80" t="s">
        <v>255</v>
      </c>
    </row>
    <row r="202">
      <c r="J202" s="35" t="s">
        <v>256</v>
      </c>
      <c r="K202" t="str">
        <f>D31</f>
        <v>S1a1 </v>
      </c>
      <c r="M202" s="73" t="s">
        <v>257</v>
      </c>
      <c r="N202" s="75">
        <v>2.1527216E7</v>
      </c>
      <c r="O202" s="75">
        <v>1.936533E7</v>
      </c>
      <c r="P202" s="80" t="s">
        <v>232</v>
      </c>
    </row>
    <row r="203">
      <c r="J203" s="35" t="s">
        <v>258</v>
      </c>
      <c r="K203" t="str">
        <f>D31</f>
        <v>S1a1 </v>
      </c>
      <c r="M203" s="73" t="s">
        <v>259</v>
      </c>
      <c r="N203" s="75">
        <v>2.1810931E7</v>
      </c>
      <c r="O203" s="75">
        <v>1.9649045E7</v>
      </c>
      <c r="P203" s="80" t="s">
        <v>221</v>
      </c>
    </row>
    <row r="204">
      <c r="J204" s="35" t="s">
        <v>260</v>
      </c>
      <c r="K204" t="str">
        <f>D31</f>
        <v>S1a1 </v>
      </c>
      <c r="M204" s="73" t="s">
        <v>261</v>
      </c>
      <c r="N204" s="75">
        <v>2.1848955E7</v>
      </c>
      <c r="O204" s="75">
        <v>1.9687069E7</v>
      </c>
      <c r="P204" s="80" t="s">
        <v>232</v>
      </c>
    </row>
    <row r="205">
      <c r="J205" s="35" t="s">
        <v>262</v>
      </c>
      <c r="K205" t="str">
        <f>E32</f>
        <v>S1a1a </v>
      </c>
      <c r="N205" s="35">
        <v>2706639.0</v>
      </c>
      <c r="O205" s="35">
        <v>2838598.0</v>
      </c>
      <c r="P205" s="35" t="s">
        <v>221</v>
      </c>
    </row>
    <row r="206">
      <c r="J206" s="35" t="s">
        <v>263</v>
      </c>
      <c r="K206" t="str">
        <f>E32</f>
        <v>S1a1a </v>
      </c>
      <c r="L206" s="35" t="s">
        <v>264</v>
      </c>
      <c r="M206" s="77" t="s">
        <v>265</v>
      </c>
      <c r="N206" s="81">
        <v>1.5994105E7</v>
      </c>
      <c r="O206" s="81">
        <v>1.3882225E7</v>
      </c>
      <c r="P206" s="82" t="s">
        <v>232</v>
      </c>
    </row>
    <row r="207">
      <c r="J207" s="35" t="s">
        <v>266</v>
      </c>
      <c r="K207" t="str">
        <f>E32</f>
        <v>S1a1a </v>
      </c>
      <c r="L207" s="35" t="s">
        <v>263</v>
      </c>
      <c r="M207" s="77" t="s">
        <v>265</v>
      </c>
      <c r="N207" s="81">
        <v>1.5994105E7</v>
      </c>
      <c r="O207" s="81">
        <v>1.3882225E7</v>
      </c>
      <c r="P207" s="82" t="s">
        <v>232</v>
      </c>
    </row>
    <row r="208">
      <c r="J208" s="35" t="s">
        <v>267</v>
      </c>
      <c r="K208" t="str">
        <f>E32</f>
        <v>S1a1a </v>
      </c>
      <c r="L208" s="35" t="s">
        <v>268</v>
      </c>
      <c r="M208" s="77" t="s">
        <v>269</v>
      </c>
      <c r="N208" s="35">
        <v>1.9236062E7</v>
      </c>
      <c r="O208" s="35">
        <v>1.7124182E7</v>
      </c>
      <c r="P208" s="35" t="s">
        <v>232</v>
      </c>
    </row>
    <row r="209">
      <c r="J209" s="35" t="s">
        <v>270</v>
      </c>
      <c r="K209" t="str">
        <f>E32</f>
        <v>S1a1a </v>
      </c>
      <c r="L209" s="35" t="s">
        <v>271</v>
      </c>
      <c r="M209" s="77" t="s">
        <v>269</v>
      </c>
      <c r="N209" s="35">
        <v>1.9236062E7</v>
      </c>
      <c r="O209" s="35">
        <v>1.7124182E7</v>
      </c>
      <c r="P209" s="35" t="s">
        <v>232</v>
      </c>
    </row>
    <row r="210">
      <c r="J210" s="35" t="s">
        <v>272</v>
      </c>
      <c r="K210" t="str">
        <f>E32</f>
        <v>S1a1a </v>
      </c>
      <c r="L210" s="35" t="s">
        <v>273</v>
      </c>
      <c r="M210" s="77" t="s">
        <v>269</v>
      </c>
      <c r="N210" s="35">
        <v>1.9236062E7</v>
      </c>
      <c r="O210" s="35">
        <v>1.7124182E7</v>
      </c>
      <c r="P210" s="35" t="s">
        <v>232</v>
      </c>
    </row>
    <row r="211">
      <c r="J211" s="35" t="s">
        <v>274</v>
      </c>
      <c r="K211" t="str">
        <f>E32</f>
        <v>S1a1a </v>
      </c>
      <c r="N211" s="35">
        <v>7301988.0</v>
      </c>
      <c r="O211" s="35">
        <v>7433947.0</v>
      </c>
      <c r="P211" s="35" t="s">
        <v>221</v>
      </c>
    </row>
    <row r="212">
      <c r="J212" s="35" t="s">
        <v>275</v>
      </c>
      <c r="K212" t="str">
        <f>E32</f>
        <v>S1a1a </v>
      </c>
      <c r="M212" s="77" t="s">
        <v>276</v>
      </c>
      <c r="N212" s="35">
        <v>1.8192531E7</v>
      </c>
      <c r="O212" s="35">
        <v>1.6080651E7</v>
      </c>
      <c r="P212" s="35" t="s">
        <v>232</v>
      </c>
    </row>
    <row r="213">
      <c r="J213" s="35" t="s">
        <v>277</v>
      </c>
      <c r="K213" t="str">
        <f>E32</f>
        <v>S1a1a </v>
      </c>
      <c r="N213" s="35">
        <v>2861475.0</v>
      </c>
      <c r="O213" s="35">
        <v>2993434.0</v>
      </c>
      <c r="P213" s="35" t="s">
        <v>216</v>
      </c>
    </row>
    <row r="214">
      <c r="J214" s="35" t="s">
        <v>278</v>
      </c>
      <c r="K214" t="str">
        <f>E32</f>
        <v>S1a1a </v>
      </c>
      <c r="N214" s="35">
        <v>2867873.0</v>
      </c>
      <c r="O214" s="35">
        <v>2999832.0</v>
      </c>
      <c r="P214" s="35" t="s">
        <v>242</v>
      </c>
    </row>
    <row r="215">
      <c r="J215" s="35" t="s">
        <v>279</v>
      </c>
      <c r="K215" t="str">
        <f>E32</f>
        <v>S1a1a </v>
      </c>
      <c r="N215" s="35">
        <v>6728405.0</v>
      </c>
      <c r="O215" s="35">
        <v>6860364.0</v>
      </c>
      <c r="P215" s="35" t="s">
        <v>235</v>
      </c>
    </row>
    <row r="216">
      <c r="J216" s="35" t="s">
        <v>280</v>
      </c>
      <c r="K216" t="str">
        <f>E32</f>
        <v>S1a1a </v>
      </c>
      <c r="N216" s="35">
        <v>6807151.0</v>
      </c>
      <c r="O216" s="35">
        <v>6939110.0</v>
      </c>
      <c r="P216" s="35" t="s">
        <v>216</v>
      </c>
    </row>
    <row r="217">
      <c r="J217" s="35" t="s">
        <v>281</v>
      </c>
      <c r="K217" t="str">
        <f>E32</f>
        <v>S1a1a </v>
      </c>
      <c r="N217" s="35">
        <v>6814625.0</v>
      </c>
      <c r="O217" s="35">
        <v>6946584.0</v>
      </c>
      <c r="P217" s="35" t="s">
        <v>242</v>
      </c>
    </row>
    <row r="218">
      <c r="J218" s="35" t="s">
        <v>282</v>
      </c>
      <c r="K218" t="str">
        <f>E32</f>
        <v>S1a1a </v>
      </c>
      <c r="N218" s="35">
        <v>6856199.0</v>
      </c>
      <c r="O218" s="35">
        <v>6988158.0</v>
      </c>
      <c r="P218" s="35" t="s">
        <v>283</v>
      </c>
    </row>
    <row r="219">
      <c r="J219" s="35" t="s">
        <v>284</v>
      </c>
      <c r="K219" t="str">
        <f>E32</f>
        <v>S1a1a </v>
      </c>
      <c r="N219" s="35">
        <v>6902761.0</v>
      </c>
      <c r="O219" s="35">
        <v>7034720.0</v>
      </c>
      <c r="P219" s="35" t="s">
        <v>285</v>
      </c>
    </row>
    <row r="220">
      <c r="J220" s="35" t="s">
        <v>286</v>
      </c>
      <c r="K220" t="str">
        <f>E32</f>
        <v>S1a1a </v>
      </c>
      <c r="N220" s="35">
        <v>7349463.0</v>
      </c>
      <c r="O220" s="35">
        <v>7481422.0</v>
      </c>
      <c r="P220" s="35" t="s">
        <v>242</v>
      </c>
    </row>
    <row r="221">
      <c r="J221" s="35" t="s">
        <v>287</v>
      </c>
      <c r="K221" t="str">
        <f>E32</f>
        <v>S1a1a </v>
      </c>
      <c r="N221" s="35">
        <v>7349712.0</v>
      </c>
      <c r="O221" s="35">
        <v>7481671.0</v>
      </c>
      <c r="P221" s="35" t="s">
        <v>216</v>
      </c>
    </row>
    <row r="222">
      <c r="J222" s="35" t="s">
        <v>288</v>
      </c>
      <c r="K222" t="str">
        <f>E32</f>
        <v>S1a1a </v>
      </c>
      <c r="N222" s="35">
        <v>7367851.0</v>
      </c>
      <c r="O222" s="35">
        <v>7499810.0</v>
      </c>
      <c r="P222" s="35" t="s">
        <v>232</v>
      </c>
    </row>
    <row r="223">
      <c r="J223" s="35" t="s">
        <v>289</v>
      </c>
      <c r="K223" t="str">
        <f>E32</f>
        <v>S1a1a </v>
      </c>
      <c r="N223" s="35">
        <v>7401055.0</v>
      </c>
      <c r="O223" s="35">
        <v>7533014.0</v>
      </c>
      <c r="P223" s="35" t="s">
        <v>219</v>
      </c>
    </row>
    <row r="224">
      <c r="J224" s="35" t="s">
        <v>290</v>
      </c>
      <c r="K224" t="str">
        <f>E32</f>
        <v>S1a1a </v>
      </c>
      <c r="N224" s="35">
        <v>7402443.0</v>
      </c>
      <c r="O224" s="35">
        <v>7534402.0</v>
      </c>
      <c r="P224" s="35" t="s">
        <v>232</v>
      </c>
    </row>
    <row r="225">
      <c r="J225" s="35" t="s">
        <v>291</v>
      </c>
      <c r="K225" t="str">
        <f>E32</f>
        <v>S1a1a </v>
      </c>
      <c r="N225" s="35">
        <v>7417346.0</v>
      </c>
      <c r="O225" s="35">
        <v>7549305.0</v>
      </c>
      <c r="P225" s="35" t="s">
        <v>232</v>
      </c>
    </row>
    <row r="226">
      <c r="J226" s="35" t="s">
        <v>292</v>
      </c>
      <c r="K226" t="str">
        <f>E32</f>
        <v>S1a1a </v>
      </c>
      <c r="N226" s="35">
        <v>7581667.0</v>
      </c>
      <c r="O226" s="35">
        <v>7713626.0</v>
      </c>
      <c r="P226" s="35" t="s">
        <v>242</v>
      </c>
    </row>
    <row r="227">
      <c r="J227" s="35" t="s">
        <v>293</v>
      </c>
      <c r="K227" s="35" t="str">
        <f>E32</f>
        <v>S1a1a </v>
      </c>
      <c r="N227" s="35">
        <v>7767392.0</v>
      </c>
      <c r="O227" s="35">
        <v>7899351.0</v>
      </c>
      <c r="P227" s="35" t="s">
        <v>221</v>
      </c>
    </row>
    <row r="228">
      <c r="J228" s="35" t="s">
        <v>294</v>
      </c>
      <c r="K228" t="str">
        <f>E32</f>
        <v>S1a1a </v>
      </c>
      <c r="N228" s="35">
        <v>7842406.0</v>
      </c>
      <c r="O228" s="35">
        <v>7974365.0</v>
      </c>
      <c r="P228" s="35" t="s">
        <v>216</v>
      </c>
    </row>
    <row r="229">
      <c r="J229" s="35" t="s">
        <v>295</v>
      </c>
      <c r="K229" t="str">
        <f>E32</f>
        <v>S1a1a </v>
      </c>
      <c r="N229" s="35">
        <v>8067895.0</v>
      </c>
      <c r="O229" s="35">
        <v>8199854.0</v>
      </c>
      <c r="P229" s="35" t="s">
        <v>255</v>
      </c>
    </row>
    <row r="230">
      <c r="J230" s="35" t="s">
        <v>296</v>
      </c>
      <c r="K230" t="str">
        <f>E32</f>
        <v>S1a1a </v>
      </c>
      <c r="N230" s="35">
        <v>8202897.0</v>
      </c>
      <c r="O230" s="35">
        <v>8334856.0</v>
      </c>
      <c r="P230" s="35" t="s">
        <v>255</v>
      </c>
    </row>
    <row r="231">
      <c r="J231" s="35" t="s">
        <v>297</v>
      </c>
      <c r="K231" t="str">
        <f>E32</f>
        <v>S1a1a </v>
      </c>
      <c r="N231" s="35">
        <v>8306962.0</v>
      </c>
      <c r="O231" s="35">
        <v>8438921.0</v>
      </c>
      <c r="P231" s="35" t="s">
        <v>242</v>
      </c>
    </row>
    <row r="232">
      <c r="J232" s="35" t="s">
        <v>298</v>
      </c>
      <c r="K232" t="str">
        <f>E32</f>
        <v>S1a1a </v>
      </c>
      <c r="N232" s="35">
        <v>8617749.0</v>
      </c>
      <c r="O232" s="35">
        <v>8749708.0</v>
      </c>
      <c r="P232" s="35" t="s">
        <v>232</v>
      </c>
    </row>
    <row r="233">
      <c r="J233" s="35" t="s">
        <v>299</v>
      </c>
      <c r="K233" t="str">
        <f>E32</f>
        <v>S1a1a </v>
      </c>
      <c r="N233" s="35">
        <v>8630049.0</v>
      </c>
      <c r="O233" s="35">
        <v>8762008.0</v>
      </c>
      <c r="P233" s="35" t="s">
        <v>232</v>
      </c>
    </row>
    <row r="234">
      <c r="J234" s="35" t="s">
        <v>300</v>
      </c>
      <c r="K234" t="str">
        <f>E32</f>
        <v>S1a1a </v>
      </c>
      <c r="N234" s="35">
        <v>8642670.0</v>
      </c>
      <c r="O234" s="35">
        <v>8774629.0</v>
      </c>
      <c r="P234" s="35" t="s">
        <v>235</v>
      </c>
    </row>
    <row r="235">
      <c r="J235" s="35" t="s">
        <v>301</v>
      </c>
      <c r="K235" t="str">
        <f>E32</f>
        <v>S1a1a </v>
      </c>
      <c r="N235" s="35">
        <v>8689187.0</v>
      </c>
      <c r="O235" s="35">
        <v>8821146.0</v>
      </c>
      <c r="P235" s="35" t="s">
        <v>302</v>
      </c>
    </row>
    <row r="236">
      <c r="J236" s="35" t="s">
        <v>303</v>
      </c>
      <c r="K236" t="str">
        <f>E32</f>
        <v>S1a1a </v>
      </c>
      <c r="N236" s="35">
        <v>9448122.0</v>
      </c>
      <c r="O236" s="35">
        <v>9610513.0</v>
      </c>
      <c r="P236" s="35" t="s">
        <v>224</v>
      </c>
    </row>
    <row r="237">
      <c r="J237" s="35" t="s">
        <v>304</v>
      </c>
      <c r="K237" t="str">
        <f>E32</f>
        <v>S1a1a </v>
      </c>
      <c r="M237" s="77" t="s">
        <v>305</v>
      </c>
      <c r="N237" s="35">
        <v>9875013.0</v>
      </c>
      <c r="O237" s="35">
        <v>1.0037404E7</v>
      </c>
      <c r="P237" s="35" t="s">
        <v>232</v>
      </c>
    </row>
    <row r="238">
      <c r="J238" s="35" t="s">
        <v>306</v>
      </c>
      <c r="K238" t="str">
        <f>E32</f>
        <v>S1a1a </v>
      </c>
      <c r="N238" s="35">
        <v>1.4117156E7</v>
      </c>
      <c r="O238" s="35">
        <v>1.199645E7</v>
      </c>
      <c r="P238" s="35" t="s">
        <v>219</v>
      </c>
    </row>
    <row r="239">
      <c r="J239" s="35" t="s">
        <v>307</v>
      </c>
      <c r="K239" t="str">
        <f>E32</f>
        <v>S1a1a </v>
      </c>
      <c r="N239" s="35">
        <v>1.4201911E7</v>
      </c>
      <c r="O239" s="35">
        <v>1.2081205E7</v>
      </c>
      <c r="P239" s="35" t="s">
        <v>221</v>
      </c>
    </row>
    <row r="240">
      <c r="J240" s="35" t="s">
        <v>308</v>
      </c>
      <c r="K240" t="str">
        <f>E32</f>
        <v>S1a1a </v>
      </c>
      <c r="N240" s="35">
        <v>1.4209411E7</v>
      </c>
      <c r="O240" s="35">
        <v>1.2088705E7</v>
      </c>
      <c r="P240" s="35" t="s">
        <v>242</v>
      </c>
    </row>
    <row r="241">
      <c r="J241" s="35" t="s">
        <v>309</v>
      </c>
      <c r="K241" t="str">
        <f>E32</f>
        <v>S1a1a </v>
      </c>
      <c r="N241" s="35">
        <v>1.4237901E7</v>
      </c>
      <c r="O241" s="35">
        <v>1.2117195E7</v>
      </c>
      <c r="P241" s="35" t="s">
        <v>285</v>
      </c>
    </row>
    <row r="242">
      <c r="J242" s="35" t="s">
        <v>310</v>
      </c>
      <c r="K242" t="str">
        <f>E32</f>
        <v>S1a1a </v>
      </c>
      <c r="N242" s="35">
        <v>1.4240623E7</v>
      </c>
      <c r="O242" s="35">
        <v>1.2119917E7</v>
      </c>
      <c r="P242" s="35" t="s">
        <v>229</v>
      </c>
    </row>
    <row r="243">
      <c r="J243" s="35" t="s">
        <v>311</v>
      </c>
      <c r="K243" t="str">
        <f>E32</f>
        <v>S1a1a </v>
      </c>
      <c r="N243" s="35">
        <v>1.4265951E7</v>
      </c>
      <c r="O243" s="35">
        <v>1.2145245E7</v>
      </c>
      <c r="P243" s="35" t="s">
        <v>232</v>
      </c>
    </row>
    <row r="244">
      <c r="J244" s="35" t="s">
        <v>312</v>
      </c>
      <c r="K244" t="str">
        <f>E32</f>
        <v>S1a1a </v>
      </c>
      <c r="N244" s="35">
        <v>1.4326301E7</v>
      </c>
      <c r="O244" s="35">
        <v>1.2205595E7</v>
      </c>
      <c r="P244" s="35" t="s">
        <v>221</v>
      </c>
    </row>
    <row r="245">
      <c r="J245" s="35" t="s">
        <v>313</v>
      </c>
      <c r="K245" t="str">
        <f>E32</f>
        <v>S1a1a </v>
      </c>
      <c r="N245" s="35">
        <v>1.4405824E7</v>
      </c>
      <c r="O245" s="35">
        <v>1.2285121E7</v>
      </c>
      <c r="P245" s="35" t="s">
        <v>221</v>
      </c>
    </row>
    <row r="246">
      <c r="J246" s="35" t="s">
        <v>314</v>
      </c>
      <c r="K246" t="str">
        <f>E32</f>
        <v>S1a1a </v>
      </c>
      <c r="N246" s="35">
        <v>1.4714849E7</v>
      </c>
      <c r="O246" s="35">
        <v>1.2602916E7</v>
      </c>
      <c r="P246" s="35" t="s">
        <v>229</v>
      </c>
    </row>
    <row r="247">
      <c r="J247" s="35" t="s">
        <v>315</v>
      </c>
      <c r="K247" t="str">
        <f>E32</f>
        <v>S1a1a </v>
      </c>
      <c r="N247" s="35">
        <v>1.484606E7</v>
      </c>
      <c r="O247" s="35">
        <v>1.2734126E7</v>
      </c>
      <c r="P247" s="35" t="s">
        <v>224</v>
      </c>
    </row>
    <row r="248">
      <c r="J248" s="35" t="s">
        <v>316</v>
      </c>
      <c r="K248" t="str">
        <f>E32</f>
        <v>S1a1a </v>
      </c>
      <c r="N248" s="35">
        <v>1.4875239E7</v>
      </c>
      <c r="O248" s="35">
        <v>1.2763309E7</v>
      </c>
      <c r="P248" s="35" t="s">
        <v>216</v>
      </c>
    </row>
    <row r="249">
      <c r="J249" s="35" t="s">
        <v>317</v>
      </c>
      <c r="K249" t="str">
        <f>E32</f>
        <v>S1a1a </v>
      </c>
      <c r="N249" s="35">
        <v>1.4899812E7</v>
      </c>
      <c r="O249" s="35">
        <v>1.2787879E7</v>
      </c>
      <c r="P249" s="35" t="s">
        <v>221</v>
      </c>
    </row>
    <row r="250">
      <c r="J250" s="35" t="s">
        <v>318</v>
      </c>
      <c r="K250" t="str">
        <f>E32</f>
        <v>S1a1a </v>
      </c>
      <c r="N250" s="35">
        <v>1.4958696E7</v>
      </c>
      <c r="O250" s="35">
        <v>1.2846771E7</v>
      </c>
      <c r="P250" s="35" t="s">
        <v>232</v>
      </c>
    </row>
    <row r="251">
      <c r="J251" s="35" t="s">
        <v>319</v>
      </c>
      <c r="K251" t="str">
        <f>E32</f>
        <v>S1a1a </v>
      </c>
      <c r="N251" s="35">
        <v>1.5260329E7</v>
      </c>
      <c r="O251" s="35">
        <v>1.3148413E7</v>
      </c>
      <c r="P251" s="35" t="s">
        <v>221</v>
      </c>
    </row>
    <row r="252">
      <c r="J252" s="35" t="s">
        <v>320</v>
      </c>
      <c r="K252" t="str">
        <f>E32</f>
        <v>S1a1a </v>
      </c>
      <c r="N252" s="35">
        <v>1.5265875E7</v>
      </c>
      <c r="O252" s="35">
        <v>1.3153964E7</v>
      </c>
      <c r="P252" s="35" t="s">
        <v>235</v>
      </c>
    </row>
    <row r="253">
      <c r="J253" s="35" t="s">
        <v>321</v>
      </c>
      <c r="K253" t="str">
        <f>E32</f>
        <v>S1a1a </v>
      </c>
      <c r="N253" s="35">
        <v>1.5391553E7</v>
      </c>
      <c r="O253" s="35">
        <v>1.3279673E7</v>
      </c>
      <c r="P253" s="35" t="s">
        <v>221</v>
      </c>
    </row>
    <row r="254">
      <c r="J254" s="35" t="s">
        <v>322</v>
      </c>
      <c r="K254" t="str">
        <f>E32</f>
        <v>S1a1a </v>
      </c>
      <c r="N254" s="35">
        <v>1.5408929E7</v>
      </c>
      <c r="O254" s="35">
        <v>1.3297049E7</v>
      </c>
      <c r="P254" s="35" t="s">
        <v>302</v>
      </c>
    </row>
    <row r="255">
      <c r="J255" s="35" t="s">
        <v>323</v>
      </c>
      <c r="K255" t="str">
        <f>E32</f>
        <v>S1a1a </v>
      </c>
      <c r="N255" s="35">
        <v>1.5520235E7</v>
      </c>
      <c r="O255" s="35">
        <v>1.3408355E7</v>
      </c>
      <c r="P255" s="35" t="s">
        <v>229</v>
      </c>
    </row>
    <row r="256">
      <c r="J256" s="35" t="s">
        <v>324</v>
      </c>
      <c r="K256" t="str">
        <f>E32</f>
        <v>S1a1a </v>
      </c>
      <c r="N256" s="35">
        <v>1.5564362E7</v>
      </c>
      <c r="O256" s="35">
        <v>1.3452482E7</v>
      </c>
      <c r="P256" s="35" t="s">
        <v>285</v>
      </c>
    </row>
    <row r="257">
      <c r="J257" s="35" t="s">
        <v>325</v>
      </c>
      <c r="K257" t="str">
        <f>E32</f>
        <v>S1a1a </v>
      </c>
      <c r="N257" s="35">
        <v>1.5615172E7</v>
      </c>
      <c r="O257" s="35">
        <v>1.3503292E7</v>
      </c>
      <c r="P257" s="35" t="s">
        <v>221</v>
      </c>
    </row>
    <row r="258">
      <c r="J258" s="35" t="s">
        <v>326</v>
      </c>
      <c r="K258" t="str">
        <f>E32</f>
        <v>S1a1a </v>
      </c>
      <c r="N258" s="35">
        <v>1.5643498E7</v>
      </c>
      <c r="O258" s="35">
        <v>1.3531618E7</v>
      </c>
      <c r="P258" s="35" t="s">
        <v>216</v>
      </c>
    </row>
    <row r="259">
      <c r="J259" s="35" t="s">
        <v>327</v>
      </c>
      <c r="K259" t="str">
        <f>E32</f>
        <v>S1a1a </v>
      </c>
      <c r="N259" s="35">
        <v>1.5649918E7</v>
      </c>
      <c r="O259" s="35">
        <v>1.3538038E7</v>
      </c>
      <c r="P259" s="35" t="s">
        <v>219</v>
      </c>
    </row>
    <row r="260">
      <c r="J260" s="35" t="s">
        <v>328</v>
      </c>
      <c r="K260" t="str">
        <f>E32</f>
        <v>S1a1a </v>
      </c>
      <c r="N260" s="35">
        <v>1.5744967E7</v>
      </c>
      <c r="O260" s="35">
        <v>1.3633087E7</v>
      </c>
      <c r="P260" s="35" t="s">
        <v>219</v>
      </c>
    </row>
    <row r="261">
      <c r="J261" s="35" t="s">
        <v>329</v>
      </c>
      <c r="K261" t="str">
        <f>E32</f>
        <v>S1a1a </v>
      </c>
      <c r="N261" s="35">
        <v>1.575609E7</v>
      </c>
      <c r="O261" s="35">
        <v>1.364421E7</v>
      </c>
      <c r="P261" s="35" t="s">
        <v>219</v>
      </c>
    </row>
    <row r="262">
      <c r="J262" s="35" t="s">
        <v>330</v>
      </c>
      <c r="K262" t="str">
        <f>E32</f>
        <v>S1a1a </v>
      </c>
      <c r="N262" s="35">
        <v>1.5846485E7</v>
      </c>
      <c r="O262" s="35">
        <v>1.3734605E7</v>
      </c>
      <c r="P262" s="35" t="s">
        <v>219</v>
      </c>
    </row>
    <row r="263">
      <c r="J263" s="35" t="s">
        <v>331</v>
      </c>
      <c r="K263" t="str">
        <f>E32</f>
        <v>S1a1a </v>
      </c>
      <c r="N263" s="35">
        <v>1.5874124E7</v>
      </c>
      <c r="O263" s="35">
        <v>1.3762244E7</v>
      </c>
      <c r="P263" s="35" t="s">
        <v>221</v>
      </c>
    </row>
    <row r="264">
      <c r="J264" s="35" t="s">
        <v>332</v>
      </c>
      <c r="K264" t="str">
        <f>E32</f>
        <v>S1a1a </v>
      </c>
      <c r="N264" s="35">
        <v>1.5888575E7</v>
      </c>
      <c r="O264" s="35">
        <v>1.3776695E7</v>
      </c>
      <c r="P264" s="35" t="s">
        <v>216</v>
      </c>
    </row>
    <row r="265">
      <c r="J265" s="35" t="s">
        <v>333</v>
      </c>
      <c r="K265" t="str">
        <f>E32</f>
        <v>S1a1a </v>
      </c>
      <c r="N265" s="35">
        <v>1.5974296E7</v>
      </c>
      <c r="O265" s="35">
        <v>1.3862416E7</v>
      </c>
      <c r="P265" s="35" t="s">
        <v>302</v>
      </c>
    </row>
    <row r="266">
      <c r="J266" s="35" t="s">
        <v>334</v>
      </c>
      <c r="K266" t="str">
        <f>E32</f>
        <v>S1a1a </v>
      </c>
      <c r="N266" s="35">
        <v>1.6007059E7</v>
      </c>
      <c r="O266" s="35">
        <v>1.3895179E7</v>
      </c>
      <c r="P266" s="35" t="s">
        <v>219</v>
      </c>
    </row>
    <row r="267">
      <c r="J267" s="35" t="s">
        <v>335</v>
      </c>
      <c r="K267" t="str">
        <f>E32</f>
        <v>S1a1a </v>
      </c>
      <c r="N267" s="35">
        <v>1.6231014E7</v>
      </c>
      <c r="O267" s="35">
        <v>1.4119134E7</v>
      </c>
      <c r="P267" s="35" t="s">
        <v>221</v>
      </c>
    </row>
    <row r="268">
      <c r="J268" s="35" t="s">
        <v>336</v>
      </c>
      <c r="K268" t="str">
        <f>E32</f>
        <v>S1a1a </v>
      </c>
      <c r="N268" s="35">
        <v>1.6516444E7</v>
      </c>
      <c r="O268" s="35">
        <v>1.4404564E7</v>
      </c>
      <c r="P268" s="35" t="s">
        <v>221</v>
      </c>
    </row>
    <row r="269">
      <c r="J269" s="35" t="s">
        <v>337</v>
      </c>
      <c r="K269" t="str">
        <f>E32</f>
        <v>S1a1a </v>
      </c>
      <c r="N269" s="35">
        <v>1.6661993E7</v>
      </c>
      <c r="O269" s="35">
        <v>1.4550113E7</v>
      </c>
      <c r="P269" s="35" t="s">
        <v>224</v>
      </c>
    </row>
    <row r="270">
      <c r="J270" s="35" t="s">
        <v>338</v>
      </c>
      <c r="K270" t="str">
        <f>E32</f>
        <v>S1a1a </v>
      </c>
      <c r="N270" s="35">
        <v>1.6745325E7</v>
      </c>
      <c r="O270" s="35">
        <v>1.4633445E7</v>
      </c>
      <c r="P270" s="35" t="s">
        <v>224</v>
      </c>
    </row>
    <row r="271">
      <c r="J271" s="35" t="s">
        <v>339</v>
      </c>
      <c r="K271" t="str">
        <f>E32</f>
        <v>S1a1a </v>
      </c>
      <c r="N271" s="35">
        <v>1.6765528E7</v>
      </c>
      <c r="O271" s="35">
        <v>1.4653648E7</v>
      </c>
      <c r="P271" s="35" t="s">
        <v>221</v>
      </c>
    </row>
    <row r="272">
      <c r="J272" s="35" t="s">
        <v>340</v>
      </c>
      <c r="K272" t="str">
        <f>E32</f>
        <v>S1a1a </v>
      </c>
      <c r="N272" s="35">
        <v>1.7211272E7</v>
      </c>
      <c r="O272" s="35">
        <v>1.5099392E7</v>
      </c>
      <c r="P272" s="35" t="s">
        <v>219</v>
      </c>
    </row>
    <row r="273">
      <c r="J273" s="35" t="s">
        <v>341</v>
      </c>
      <c r="K273" t="str">
        <f>E32</f>
        <v>S1a1a </v>
      </c>
      <c r="N273" s="35">
        <v>1.7211907E7</v>
      </c>
      <c r="O273" s="35">
        <v>1.5100027E7</v>
      </c>
      <c r="P273" s="35" t="s">
        <v>285</v>
      </c>
    </row>
    <row r="274">
      <c r="J274" s="35" t="s">
        <v>342</v>
      </c>
      <c r="K274" t="str">
        <f>E32</f>
        <v>S1a1a </v>
      </c>
      <c r="N274" s="35">
        <v>1.7240349E7</v>
      </c>
      <c r="O274" s="35">
        <v>1.5128469E7</v>
      </c>
      <c r="P274" s="35" t="s">
        <v>232</v>
      </c>
    </row>
    <row r="275">
      <c r="J275" s="35" t="s">
        <v>343</v>
      </c>
      <c r="K275" t="str">
        <f>E32</f>
        <v>S1a1a </v>
      </c>
      <c r="N275" s="35">
        <v>1.7297862E7</v>
      </c>
      <c r="O275" s="35">
        <v>1.5185982E7</v>
      </c>
      <c r="P275" s="35" t="s">
        <v>216</v>
      </c>
    </row>
    <row r="276">
      <c r="J276" s="35" t="s">
        <v>344</v>
      </c>
      <c r="K276" t="str">
        <f>E32</f>
        <v>S1a1a </v>
      </c>
      <c r="N276" s="35">
        <v>1.7358785E7</v>
      </c>
      <c r="O276" s="35">
        <v>1.5246905E7</v>
      </c>
      <c r="P276" s="35" t="s">
        <v>302</v>
      </c>
    </row>
    <row r="277">
      <c r="J277" s="35" t="s">
        <v>345</v>
      </c>
      <c r="K277" t="str">
        <f>E32</f>
        <v>S1a1a </v>
      </c>
      <c r="N277" s="35">
        <v>1.736773E7</v>
      </c>
      <c r="O277" s="35">
        <v>1.525585E7</v>
      </c>
      <c r="P277" s="35" t="s">
        <v>232</v>
      </c>
    </row>
    <row r="278">
      <c r="J278" s="35" t="s">
        <v>346</v>
      </c>
      <c r="K278" t="str">
        <f>E32</f>
        <v>S1a1a </v>
      </c>
      <c r="N278" s="35">
        <v>1.7415219E7</v>
      </c>
      <c r="O278" s="35">
        <v>1.5303339E7</v>
      </c>
      <c r="P278" s="35" t="s">
        <v>221</v>
      </c>
    </row>
    <row r="279">
      <c r="J279" s="35" t="s">
        <v>347</v>
      </c>
      <c r="K279" t="str">
        <f>E32</f>
        <v>S1a1a </v>
      </c>
      <c r="N279" s="35">
        <v>1.7526944E7</v>
      </c>
      <c r="O279" s="35">
        <v>1.5415064E7</v>
      </c>
      <c r="P279" s="35" t="s">
        <v>224</v>
      </c>
    </row>
    <row r="280">
      <c r="J280" s="35" t="s">
        <v>348</v>
      </c>
      <c r="K280" t="str">
        <f>E32</f>
        <v>S1a1a </v>
      </c>
      <c r="N280" s="35">
        <v>1.7574887E7</v>
      </c>
      <c r="O280" s="35">
        <v>1.5463007E7</v>
      </c>
      <c r="P280" s="35" t="s">
        <v>219</v>
      </c>
    </row>
    <row r="281">
      <c r="J281" s="35" t="s">
        <v>349</v>
      </c>
      <c r="K281" t="str">
        <f>E32</f>
        <v>S1a1a </v>
      </c>
      <c r="N281" s="35">
        <v>1.7589666E7</v>
      </c>
      <c r="O281" s="35">
        <v>1.5477786E7</v>
      </c>
      <c r="P281" s="35" t="s">
        <v>232</v>
      </c>
    </row>
    <row r="282">
      <c r="J282" s="35" t="s">
        <v>350</v>
      </c>
      <c r="K282" t="str">
        <f>E32</f>
        <v>S1a1a </v>
      </c>
      <c r="N282" s="35">
        <v>1.7629468E7</v>
      </c>
      <c r="O282" s="35">
        <v>1.5517588E7</v>
      </c>
      <c r="P282" s="35" t="s">
        <v>221</v>
      </c>
    </row>
    <row r="283">
      <c r="J283" s="35" t="s">
        <v>351</v>
      </c>
      <c r="K283" t="str">
        <f>E32</f>
        <v>S1a1a </v>
      </c>
      <c r="N283" s="35">
        <v>1.7652613E7</v>
      </c>
      <c r="O283" s="35">
        <v>1.5540733E7</v>
      </c>
      <c r="P283" s="35" t="s">
        <v>302</v>
      </c>
    </row>
    <row r="284">
      <c r="J284" s="35" t="s">
        <v>352</v>
      </c>
      <c r="K284" t="str">
        <f>E32</f>
        <v>S1a1a </v>
      </c>
      <c r="N284" s="35">
        <v>1.7772153E7</v>
      </c>
      <c r="O284" s="35">
        <v>1.5660273E7</v>
      </c>
      <c r="P284" s="35" t="s">
        <v>232</v>
      </c>
    </row>
    <row r="285">
      <c r="J285" s="35" t="s">
        <v>353</v>
      </c>
      <c r="K285" t="str">
        <f>E32</f>
        <v>S1a1a </v>
      </c>
      <c r="N285" s="35">
        <v>1.7801968E7</v>
      </c>
      <c r="O285" s="35">
        <v>1.5690088E7</v>
      </c>
      <c r="P285" s="35" t="s">
        <v>232</v>
      </c>
    </row>
    <row r="286">
      <c r="J286" s="35" t="s">
        <v>354</v>
      </c>
      <c r="K286" t="str">
        <f>E32</f>
        <v>S1a1a </v>
      </c>
      <c r="N286" s="35">
        <v>1.80835E7</v>
      </c>
      <c r="O286" s="35">
        <v>1.597162E7</v>
      </c>
      <c r="P286" s="35" t="s">
        <v>232</v>
      </c>
    </row>
    <row r="287">
      <c r="J287" s="35" t="s">
        <v>355</v>
      </c>
      <c r="K287" t="str">
        <f>E32</f>
        <v>S1a1a </v>
      </c>
      <c r="N287" s="35">
        <v>1.8119296E7</v>
      </c>
      <c r="O287" s="35">
        <v>1.6007416E7</v>
      </c>
      <c r="P287" s="35" t="s">
        <v>242</v>
      </c>
    </row>
    <row r="288">
      <c r="J288" s="35" t="s">
        <v>356</v>
      </c>
      <c r="K288" t="str">
        <f>E32</f>
        <v>S1a1a </v>
      </c>
      <c r="N288" s="35">
        <v>1.8132894E7</v>
      </c>
      <c r="O288" s="35">
        <v>1.6021014E7</v>
      </c>
      <c r="P288" s="35" t="s">
        <v>232</v>
      </c>
    </row>
    <row r="289">
      <c r="J289" s="35" t="s">
        <v>357</v>
      </c>
      <c r="K289" t="str">
        <f>E32</f>
        <v>S1a1a </v>
      </c>
      <c r="N289" s="35">
        <v>1.8798096E7</v>
      </c>
      <c r="O289" s="35">
        <v>1.6686216E7</v>
      </c>
      <c r="P289" s="35" t="s">
        <v>216</v>
      </c>
    </row>
    <row r="290">
      <c r="J290" s="35" t="s">
        <v>358</v>
      </c>
      <c r="K290" t="str">
        <f>E32</f>
        <v>S1a1a </v>
      </c>
      <c r="N290" s="35">
        <v>1.8815529E7</v>
      </c>
      <c r="O290" s="35">
        <v>1.6703649E7</v>
      </c>
      <c r="P290" s="35" t="s">
        <v>219</v>
      </c>
    </row>
    <row r="291">
      <c r="J291" s="35" t="s">
        <v>359</v>
      </c>
      <c r="K291" t="str">
        <f>E32</f>
        <v>S1a1a </v>
      </c>
      <c r="N291" s="35">
        <v>1.8974017E7</v>
      </c>
      <c r="O291" s="35">
        <v>1.6862137E7</v>
      </c>
      <c r="P291" s="35" t="s">
        <v>232</v>
      </c>
    </row>
    <row r="292">
      <c r="J292" s="35" t="s">
        <v>360</v>
      </c>
      <c r="K292" t="str">
        <f>E32</f>
        <v>S1a1a </v>
      </c>
      <c r="N292" s="35">
        <v>1.8975365E7</v>
      </c>
      <c r="O292" s="35">
        <v>1.6863485E7</v>
      </c>
      <c r="P292" s="35" t="s">
        <v>221</v>
      </c>
    </row>
    <row r="293">
      <c r="J293" s="35" t="s">
        <v>361</v>
      </c>
      <c r="K293" t="str">
        <f>E32</f>
        <v>S1a1a </v>
      </c>
      <c r="N293" s="35">
        <v>1.8988158E7</v>
      </c>
      <c r="O293" s="35">
        <v>1.6876278E7</v>
      </c>
      <c r="P293" s="35" t="s">
        <v>232</v>
      </c>
    </row>
    <row r="294">
      <c r="J294" s="35" t="s">
        <v>362</v>
      </c>
      <c r="K294" t="str">
        <f>E32</f>
        <v>S1a1a </v>
      </c>
      <c r="N294" s="35">
        <v>1.900655E7</v>
      </c>
      <c r="O294" s="35">
        <v>1.689467E7</v>
      </c>
      <c r="P294" s="35" t="s">
        <v>285</v>
      </c>
    </row>
    <row r="295">
      <c r="J295" s="35" t="s">
        <v>363</v>
      </c>
      <c r="K295" t="str">
        <f>E32</f>
        <v>S1a1a </v>
      </c>
      <c r="N295" s="35">
        <v>1.9014621E7</v>
      </c>
      <c r="O295" s="35">
        <v>1.6902741E7</v>
      </c>
      <c r="P295" s="35" t="s">
        <v>221</v>
      </c>
    </row>
    <row r="296">
      <c r="J296" s="35" t="s">
        <v>364</v>
      </c>
      <c r="K296" t="str">
        <f>E32</f>
        <v>S1a1a </v>
      </c>
      <c r="N296" s="35">
        <v>1.9153149E7</v>
      </c>
      <c r="O296" s="35">
        <v>1.7041269E7</v>
      </c>
      <c r="P296" s="35" t="s">
        <v>302</v>
      </c>
    </row>
    <row r="297">
      <c r="J297" s="35" t="s">
        <v>365</v>
      </c>
      <c r="K297" t="str">
        <f>E32</f>
        <v>S1a1a </v>
      </c>
      <c r="N297" s="35">
        <v>1.9232655E7</v>
      </c>
      <c r="O297" s="35">
        <v>1.7120775E7</v>
      </c>
      <c r="P297" s="35" t="s">
        <v>255</v>
      </c>
    </row>
    <row r="298">
      <c r="J298" s="35" t="s">
        <v>366</v>
      </c>
      <c r="K298" t="str">
        <f>E32</f>
        <v>S1a1a </v>
      </c>
      <c r="N298" s="35">
        <v>1.9380404E7</v>
      </c>
      <c r="O298" s="35">
        <v>1.7268524E7</v>
      </c>
      <c r="P298" s="35" t="s">
        <v>285</v>
      </c>
    </row>
    <row r="299">
      <c r="J299" s="35" t="s">
        <v>367</v>
      </c>
      <c r="K299" t="str">
        <f>E32</f>
        <v>S1a1a </v>
      </c>
      <c r="N299" s="35">
        <v>1.9461301E7</v>
      </c>
      <c r="O299" s="35">
        <v>1.7349421E7</v>
      </c>
      <c r="P299" s="35" t="s">
        <v>221</v>
      </c>
    </row>
    <row r="300">
      <c r="J300" s="35" t="s">
        <v>368</v>
      </c>
      <c r="K300" t="str">
        <f>E32</f>
        <v>S1a1a </v>
      </c>
      <c r="N300" s="35">
        <v>1.9481678E7</v>
      </c>
      <c r="O300" s="35">
        <v>1.7369798E7</v>
      </c>
      <c r="P300" s="35" t="s">
        <v>219</v>
      </c>
    </row>
    <row r="301">
      <c r="J301" s="35" t="s">
        <v>369</v>
      </c>
      <c r="K301" t="str">
        <f>E32</f>
        <v>S1a1a </v>
      </c>
      <c r="N301" s="35">
        <v>1.9501774E7</v>
      </c>
      <c r="O301" s="35">
        <v>1.7389894E7</v>
      </c>
      <c r="P301" s="35" t="s">
        <v>221</v>
      </c>
    </row>
    <row r="302">
      <c r="J302" s="35" t="s">
        <v>370</v>
      </c>
      <c r="K302" t="str">
        <f>E32</f>
        <v>S1a1a </v>
      </c>
      <c r="N302" s="35">
        <v>2.1116743E7</v>
      </c>
      <c r="O302" s="35">
        <v>1.8954857E7</v>
      </c>
      <c r="P302" s="35" t="s">
        <v>221</v>
      </c>
    </row>
    <row r="303">
      <c r="J303" s="35" t="s">
        <v>371</v>
      </c>
      <c r="K303" t="str">
        <f>E32</f>
        <v>S1a1a </v>
      </c>
      <c r="N303" s="35">
        <v>2.1176677E7</v>
      </c>
      <c r="O303" s="35">
        <v>1.9014791E7</v>
      </c>
      <c r="P303" s="35" t="s">
        <v>216</v>
      </c>
    </row>
    <row r="304">
      <c r="J304" s="35" t="s">
        <v>372</v>
      </c>
      <c r="K304" t="str">
        <f>E32</f>
        <v>S1a1a </v>
      </c>
      <c r="N304" s="35">
        <v>2.1180714E7</v>
      </c>
      <c r="O304" s="35">
        <v>1.9018828E7</v>
      </c>
      <c r="P304" s="35" t="s">
        <v>221</v>
      </c>
    </row>
    <row r="305">
      <c r="J305" s="35" t="s">
        <v>373</v>
      </c>
      <c r="K305" t="str">
        <f>E32</f>
        <v>S1a1a </v>
      </c>
      <c r="N305" s="35">
        <v>2.1265247E7</v>
      </c>
      <c r="O305" s="35">
        <v>1.9103361E7</v>
      </c>
      <c r="P305" s="35" t="s">
        <v>216</v>
      </c>
    </row>
    <row r="306">
      <c r="J306" s="35" t="s">
        <v>374</v>
      </c>
      <c r="K306" t="str">
        <f>E32</f>
        <v>S1a1a </v>
      </c>
      <c r="N306" s="35">
        <v>2.1292352E7</v>
      </c>
      <c r="O306" s="35">
        <v>1.9130466E7</v>
      </c>
      <c r="P306" s="35" t="s">
        <v>232</v>
      </c>
    </row>
    <row r="307">
      <c r="J307" s="35" t="s">
        <v>375</v>
      </c>
      <c r="K307" t="str">
        <f>E32</f>
        <v>S1a1a </v>
      </c>
      <c r="N307" s="35">
        <v>2.1385673E7</v>
      </c>
      <c r="O307" s="35">
        <v>1.9223787E7</v>
      </c>
      <c r="P307" s="35" t="s">
        <v>232</v>
      </c>
    </row>
    <row r="308">
      <c r="J308" s="35" t="s">
        <v>376</v>
      </c>
      <c r="K308" t="str">
        <f>E32</f>
        <v>S1a1a </v>
      </c>
      <c r="N308" s="35">
        <v>2.1456258E7</v>
      </c>
      <c r="O308" s="35">
        <v>1.9294372E7</v>
      </c>
      <c r="P308" s="35" t="s">
        <v>219</v>
      </c>
    </row>
    <row r="309">
      <c r="J309" s="35" t="s">
        <v>377</v>
      </c>
      <c r="K309" t="str">
        <f>E32</f>
        <v>S1a1a </v>
      </c>
      <c r="N309" s="35">
        <v>2.1580342E7</v>
      </c>
      <c r="O309" s="35">
        <v>1.9418456E7</v>
      </c>
      <c r="P309" s="35" t="s">
        <v>221</v>
      </c>
    </row>
    <row r="310">
      <c r="J310" s="35" t="s">
        <v>378</v>
      </c>
      <c r="K310" t="str">
        <f>E32</f>
        <v>S1a1a </v>
      </c>
      <c r="N310" s="35">
        <v>2.177921E7</v>
      </c>
      <c r="O310" s="35">
        <v>1.9617324E7</v>
      </c>
      <c r="P310" s="35" t="s">
        <v>221</v>
      </c>
    </row>
    <row r="311">
      <c r="J311" s="35" t="s">
        <v>379</v>
      </c>
      <c r="K311" t="str">
        <f>E32</f>
        <v>S1a1a </v>
      </c>
      <c r="N311" s="35">
        <v>2.1930175E7</v>
      </c>
      <c r="O311" s="35">
        <v>1.9768289E7</v>
      </c>
      <c r="P311" s="35" t="s">
        <v>221</v>
      </c>
    </row>
    <row r="312">
      <c r="J312" s="35" t="s">
        <v>380</v>
      </c>
      <c r="K312" t="str">
        <f>E32</f>
        <v>S1a1a </v>
      </c>
      <c r="N312" s="35">
        <v>2.2177178E7</v>
      </c>
      <c r="O312" s="35">
        <v>2.0015292E7</v>
      </c>
      <c r="P312" s="35" t="s">
        <v>285</v>
      </c>
    </row>
    <row r="313">
      <c r="J313" s="35" t="s">
        <v>381</v>
      </c>
      <c r="K313" t="str">
        <f>E32</f>
        <v>S1a1a </v>
      </c>
      <c r="N313" s="35">
        <v>2.2624358E7</v>
      </c>
      <c r="O313" s="35">
        <v>2.0462472E7</v>
      </c>
      <c r="P313" s="35" t="s">
        <v>221</v>
      </c>
    </row>
    <row r="314">
      <c r="J314" s="35" t="s">
        <v>382</v>
      </c>
      <c r="K314" t="str">
        <f>E32</f>
        <v>S1a1a </v>
      </c>
      <c r="N314" s="35">
        <v>2.2769544E7</v>
      </c>
      <c r="O314" s="35">
        <v>2.0607658E7</v>
      </c>
      <c r="P314" s="35" t="s">
        <v>283</v>
      </c>
    </row>
    <row r="315">
      <c r="J315" s="35" t="s">
        <v>383</v>
      </c>
      <c r="K315" t="str">
        <f>E32</f>
        <v>S1a1a </v>
      </c>
      <c r="N315" s="35">
        <v>2.2915106E7</v>
      </c>
      <c r="O315" s="35">
        <v>2.075322E7</v>
      </c>
      <c r="P315" s="35" t="s">
        <v>232</v>
      </c>
    </row>
    <row r="316">
      <c r="J316" s="35" t="s">
        <v>384</v>
      </c>
      <c r="K316" t="str">
        <f>E32</f>
        <v>S1a1a </v>
      </c>
      <c r="N316" s="35">
        <v>2.2929166E7</v>
      </c>
      <c r="O316" s="35">
        <v>2.076728E7</v>
      </c>
      <c r="P316" s="35" t="s">
        <v>219</v>
      </c>
    </row>
    <row r="317">
      <c r="J317" s="35" t="s">
        <v>385</v>
      </c>
      <c r="K317" t="str">
        <f>E32</f>
        <v>S1a1a </v>
      </c>
      <c r="N317" s="35">
        <v>2.295108E7</v>
      </c>
      <c r="O317" s="35">
        <v>2.0789194E7</v>
      </c>
      <c r="P317" s="35" t="s">
        <v>255</v>
      </c>
    </row>
    <row r="318">
      <c r="J318" s="35" t="s">
        <v>386</v>
      </c>
      <c r="K318" t="str">
        <f>E32</f>
        <v>S1a1a </v>
      </c>
      <c r="N318" s="35">
        <v>2.2955244E7</v>
      </c>
      <c r="O318" s="35">
        <v>2.0793358E7</v>
      </c>
      <c r="P318" s="35" t="s">
        <v>232</v>
      </c>
    </row>
    <row r="319">
      <c r="J319" s="35" t="s">
        <v>387</v>
      </c>
      <c r="K319" t="str">
        <f>E32</f>
        <v>S1a1a </v>
      </c>
      <c r="N319" s="35">
        <v>2.3155984E7</v>
      </c>
      <c r="O319" s="35">
        <v>2.0994098E7</v>
      </c>
      <c r="P319" s="35" t="s">
        <v>232</v>
      </c>
    </row>
    <row r="320">
      <c r="J320" s="35" t="s">
        <v>388</v>
      </c>
      <c r="K320" t="str">
        <f>E32</f>
        <v>S1a1a </v>
      </c>
      <c r="N320" s="35">
        <v>2.3242277E7</v>
      </c>
      <c r="O320" s="35">
        <v>2.1080391E7</v>
      </c>
      <c r="P320" s="35" t="s">
        <v>219</v>
      </c>
    </row>
    <row r="321">
      <c r="J321" s="35" t="s">
        <v>389</v>
      </c>
      <c r="K321" t="str">
        <f>E32</f>
        <v>S1a1a </v>
      </c>
      <c r="N321" s="35">
        <v>2.3284172E7</v>
      </c>
      <c r="O321" s="35">
        <v>2.1122286E7</v>
      </c>
      <c r="P321" s="35" t="s">
        <v>232</v>
      </c>
    </row>
    <row r="322">
      <c r="J322" s="35" t="s">
        <v>390</v>
      </c>
      <c r="K322" t="str">
        <f>E32</f>
        <v>S1a1a </v>
      </c>
      <c r="N322" s="35">
        <v>2.3312748E7</v>
      </c>
      <c r="O322" s="35">
        <v>2.1150862E7</v>
      </c>
      <c r="P322" s="35" t="s">
        <v>219</v>
      </c>
    </row>
    <row r="323">
      <c r="J323" s="35" t="s">
        <v>391</v>
      </c>
      <c r="K323" t="str">
        <f>E32</f>
        <v>S1a1a </v>
      </c>
      <c r="N323" s="35">
        <v>2.331432E7</v>
      </c>
      <c r="O323" s="35">
        <v>2.1152434E7</v>
      </c>
      <c r="P323" s="35" t="s">
        <v>302</v>
      </c>
    </row>
    <row r="324">
      <c r="J324" s="35" t="s">
        <v>392</v>
      </c>
      <c r="K324" t="str">
        <f>E32</f>
        <v>S1a1a </v>
      </c>
      <c r="N324" s="35">
        <v>2.3959953E7</v>
      </c>
      <c r="O324" s="35">
        <v>2.1813806E7</v>
      </c>
      <c r="P324" s="35" t="s">
        <v>285</v>
      </c>
    </row>
    <row r="325">
      <c r="J325" s="35" t="s">
        <v>393</v>
      </c>
      <c r="K325" t="str">
        <f>E32</f>
        <v>S1a1a </v>
      </c>
      <c r="N325" s="35">
        <v>2.8657268E7</v>
      </c>
      <c r="O325" s="35">
        <v>2.6511121E7</v>
      </c>
      <c r="P325" s="35" t="s">
        <v>216</v>
      </c>
    </row>
    <row r="326">
      <c r="J326" s="35" t="s">
        <v>394</v>
      </c>
      <c r="K326" t="str">
        <f>F33</f>
        <v>S1a1a1</v>
      </c>
      <c r="N326" s="35">
        <v>1.5409573E7</v>
      </c>
      <c r="O326" s="35">
        <v>1.3297693E7</v>
      </c>
      <c r="P326" s="35" t="s">
        <v>221</v>
      </c>
    </row>
    <row r="327">
      <c r="J327" s="35" t="s">
        <v>395</v>
      </c>
      <c r="K327" t="str">
        <f>F33</f>
        <v>S1a1a1</v>
      </c>
      <c r="N327" s="35">
        <v>2771271.0</v>
      </c>
      <c r="O327" s="35">
        <v>2903230.0</v>
      </c>
      <c r="P327" s="35" t="s">
        <v>224</v>
      </c>
    </row>
    <row r="328">
      <c r="J328" s="35" t="s">
        <v>396</v>
      </c>
      <c r="K328" t="str">
        <f>F33</f>
        <v>S1a1a1</v>
      </c>
      <c r="N328" s="35">
        <v>2805194.0</v>
      </c>
      <c r="O328" s="35">
        <v>2937153.0</v>
      </c>
      <c r="P328" s="35" t="s">
        <v>283</v>
      </c>
    </row>
    <row r="329">
      <c r="J329" s="35" t="s">
        <v>397</v>
      </c>
      <c r="K329" t="str">
        <f>F33</f>
        <v>S1a1a1</v>
      </c>
      <c r="N329" s="35">
        <v>2885978.0</v>
      </c>
      <c r="O329" s="35">
        <v>3017937.0</v>
      </c>
      <c r="P329" s="35" t="s">
        <v>232</v>
      </c>
    </row>
    <row r="330">
      <c r="J330" s="35" t="s">
        <v>398</v>
      </c>
      <c r="K330" t="str">
        <f>F33</f>
        <v>S1a1a1</v>
      </c>
      <c r="N330" s="35">
        <v>6716874.0</v>
      </c>
      <c r="O330" s="35">
        <v>6848833.0</v>
      </c>
      <c r="P330" s="35" t="s">
        <v>219</v>
      </c>
    </row>
    <row r="331">
      <c r="J331" s="35" t="s">
        <v>399</v>
      </c>
      <c r="K331" t="str">
        <f>F33</f>
        <v>S1a1a1</v>
      </c>
      <c r="N331" s="35">
        <v>6879965.0</v>
      </c>
      <c r="O331" s="35">
        <v>7011924.0</v>
      </c>
      <c r="P331" s="35" t="s">
        <v>242</v>
      </c>
    </row>
    <row r="332">
      <c r="J332" s="35" t="s">
        <v>400</v>
      </c>
      <c r="K332" t="str">
        <f>F33</f>
        <v>S1a1a1</v>
      </c>
      <c r="N332" s="35">
        <v>6930410.0</v>
      </c>
      <c r="O332" s="35">
        <v>7062369.0</v>
      </c>
      <c r="P332" s="35" t="s">
        <v>221</v>
      </c>
    </row>
    <row r="333">
      <c r="J333" s="35" t="s">
        <v>401</v>
      </c>
      <c r="K333" t="str">
        <f>F33</f>
        <v>S1a1a1</v>
      </c>
      <c r="N333" s="35">
        <v>7385169.0</v>
      </c>
      <c r="O333" s="35">
        <v>7517128.0</v>
      </c>
      <c r="P333" s="35" t="s">
        <v>219</v>
      </c>
    </row>
    <row r="334">
      <c r="J334" s="35" t="s">
        <v>402</v>
      </c>
      <c r="K334" t="str">
        <f>F33</f>
        <v>S1a1a1</v>
      </c>
      <c r="N334" s="35">
        <v>7592118.0</v>
      </c>
      <c r="O334" s="35">
        <v>7724077.0</v>
      </c>
      <c r="P334" s="35" t="s">
        <v>232</v>
      </c>
    </row>
    <row r="335">
      <c r="J335" s="35" t="s">
        <v>403</v>
      </c>
      <c r="K335" t="str">
        <f>F33</f>
        <v>S1a1a1</v>
      </c>
      <c r="N335" s="35">
        <v>8084954.0</v>
      </c>
      <c r="O335" s="35">
        <v>8216913.0</v>
      </c>
      <c r="P335" s="35" t="s">
        <v>232</v>
      </c>
    </row>
    <row r="336">
      <c r="J336" s="35" t="s">
        <v>404</v>
      </c>
      <c r="K336" t="str">
        <f>F33</f>
        <v>S1a1a1</v>
      </c>
      <c r="N336" s="35">
        <v>8147619.0</v>
      </c>
      <c r="O336" s="35">
        <v>8279578.0</v>
      </c>
      <c r="P336" s="35" t="s">
        <v>232</v>
      </c>
    </row>
    <row r="337">
      <c r="J337" s="35" t="s">
        <v>405</v>
      </c>
      <c r="K337" t="str">
        <f>F33</f>
        <v>S1a1a1</v>
      </c>
      <c r="N337" s="35">
        <v>8365460.0</v>
      </c>
      <c r="O337" s="35">
        <v>8497419.0</v>
      </c>
      <c r="P337" s="35" t="s">
        <v>221</v>
      </c>
    </row>
    <row r="338">
      <c r="J338" s="35" t="s">
        <v>406</v>
      </c>
      <c r="K338" t="str">
        <f>F33</f>
        <v>S1a1a1</v>
      </c>
      <c r="N338" s="35">
        <v>8586981.0</v>
      </c>
      <c r="O338" s="35">
        <v>8718940.0</v>
      </c>
      <c r="P338" s="35" t="s">
        <v>242</v>
      </c>
    </row>
    <row r="339">
      <c r="J339" s="35" t="s">
        <v>407</v>
      </c>
      <c r="K339" t="str">
        <f>F33</f>
        <v>S1a1a1</v>
      </c>
      <c r="N339" s="35">
        <v>1.4048439E7</v>
      </c>
      <c r="O339" s="35">
        <v>1.1927733E7</v>
      </c>
      <c r="P339" s="35" t="s">
        <v>232</v>
      </c>
    </row>
    <row r="340">
      <c r="J340" s="35" t="s">
        <v>408</v>
      </c>
      <c r="K340" t="str">
        <f>F33</f>
        <v>S1a1a1</v>
      </c>
      <c r="N340" s="35">
        <v>1.4125884E7</v>
      </c>
      <c r="O340" s="35">
        <v>1.2005178E7</v>
      </c>
      <c r="P340" s="35" t="s">
        <v>232</v>
      </c>
    </row>
    <row r="341">
      <c r="J341" s="35" t="s">
        <v>409</v>
      </c>
      <c r="K341" t="str">
        <f>F33</f>
        <v>S1a1a1</v>
      </c>
      <c r="N341" s="35">
        <v>1.4130813E7</v>
      </c>
      <c r="O341" s="35">
        <v>1.2010107E7</v>
      </c>
      <c r="P341" s="35" t="s">
        <v>242</v>
      </c>
    </row>
    <row r="342">
      <c r="J342" s="35" t="s">
        <v>410</v>
      </c>
      <c r="K342" t="str">
        <f>F33</f>
        <v>S1a1a1</v>
      </c>
      <c r="N342" s="35">
        <v>1.4203093E7</v>
      </c>
      <c r="O342" s="35">
        <v>1.2082387E7</v>
      </c>
      <c r="P342" s="35" t="s">
        <v>232</v>
      </c>
    </row>
    <row r="343">
      <c r="J343" s="35" t="s">
        <v>411</v>
      </c>
      <c r="K343" t="str">
        <f>F33</f>
        <v>S1a1a1</v>
      </c>
      <c r="N343" s="35">
        <v>1.4295434E7</v>
      </c>
      <c r="O343" s="35">
        <v>1.2174728E7</v>
      </c>
      <c r="P343" s="35" t="s">
        <v>221</v>
      </c>
    </row>
    <row r="344">
      <c r="J344" s="35" t="s">
        <v>412</v>
      </c>
      <c r="K344" t="str">
        <f>F33</f>
        <v>S1a1a1</v>
      </c>
      <c r="N344" s="35">
        <v>1.4428969E7</v>
      </c>
      <c r="O344" s="35">
        <v>1.2308244E7</v>
      </c>
      <c r="P344" s="35" t="s">
        <v>224</v>
      </c>
    </row>
    <row r="345">
      <c r="J345" s="35" t="s">
        <v>413</v>
      </c>
      <c r="K345" t="str">
        <f>F33</f>
        <v>S1a1a1</v>
      </c>
      <c r="N345" s="35">
        <v>1.4450403E7</v>
      </c>
      <c r="O345" s="35">
        <v>1.2329676E7</v>
      </c>
      <c r="P345" s="35" t="s">
        <v>232</v>
      </c>
    </row>
    <row r="346">
      <c r="J346" s="35" t="s">
        <v>414</v>
      </c>
      <c r="K346" t="str">
        <f>F33</f>
        <v>S1a1a1</v>
      </c>
      <c r="N346" s="35">
        <v>1.4486084E7</v>
      </c>
      <c r="O346" s="35">
        <v>1.2365353E7</v>
      </c>
      <c r="P346" s="35" t="s">
        <v>232</v>
      </c>
    </row>
    <row r="347">
      <c r="J347" s="35" t="s">
        <v>415</v>
      </c>
      <c r="K347" t="str">
        <f>F33</f>
        <v>S1a1a1</v>
      </c>
      <c r="N347" s="35">
        <v>1.4532169E7</v>
      </c>
      <c r="O347" s="35">
        <v>1.242037E7</v>
      </c>
      <c r="P347" s="35" t="s">
        <v>221</v>
      </c>
    </row>
    <row r="348">
      <c r="J348" s="35" t="s">
        <v>416</v>
      </c>
      <c r="K348" t="str">
        <f>F33</f>
        <v>S1a1a1</v>
      </c>
      <c r="N348" s="35">
        <v>1.4692979E7</v>
      </c>
      <c r="O348" s="35">
        <v>1.2581045E7</v>
      </c>
      <c r="P348" s="35" t="s">
        <v>224</v>
      </c>
    </row>
    <row r="349">
      <c r="J349" s="35" t="s">
        <v>417</v>
      </c>
      <c r="K349" t="str">
        <f>F33</f>
        <v>S1a1a1</v>
      </c>
      <c r="N349" s="35">
        <v>1.4754757E7</v>
      </c>
      <c r="O349" s="35">
        <v>1.2642826E7</v>
      </c>
      <c r="P349" s="35" t="s">
        <v>232</v>
      </c>
    </row>
    <row r="350">
      <c r="J350" s="35" t="s">
        <v>418</v>
      </c>
      <c r="K350" t="str">
        <f>F33</f>
        <v>S1a1a1</v>
      </c>
      <c r="N350" s="35">
        <v>1.5083449E7</v>
      </c>
      <c r="O350" s="35">
        <v>1.2971539E7</v>
      </c>
      <c r="P350" s="35" t="s">
        <v>242</v>
      </c>
    </row>
    <row r="351">
      <c r="J351" s="35" t="s">
        <v>419</v>
      </c>
      <c r="K351" t="str">
        <f>F33</f>
        <v>S1a1a1</v>
      </c>
      <c r="N351" s="35">
        <v>1.5096791E7</v>
      </c>
      <c r="O351" s="35">
        <v>1.2984879E7</v>
      </c>
      <c r="P351" s="35" t="s">
        <v>302</v>
      </c>
    </row>
    <row r="352">
      <c r="J352" s="35" t="s">
        <v>420</v>
      </c>
      <c r="K352" t="str">
        <f>F33</f>
        <v>S1a1a1</v>
      </c>
      <c r="N352" s="35">
        <v>1.5154686E7</v>
      </c>
      <c r="O352" s="35">
        <v>1.3042773E7</v>
      </c>
      <c r="P352" s="35" t="s">
        <v>219</v>
      </c>
    </row>
    <row r="353">
      <c r="J353" s="35" t="s">
        <v>421</v>
      </c>
      <c r="K353" t="str">
        <f>F33</f>
        <v>S1a1a1</v>
      </c>
      <c r="N353" s="35">
        <v>1.5185333E7</v>
      </c>
      <c r="O353" s="35">
        <v>1.3073419E7</v>
      </c>
      <c r="P353" s="35" t="s">
        <v>224</v>
      </c>
    </row>
    <row r="354">
      <c r="J354" s="35" t="s">
        <v>422</v>
      </c>
      <c r="K354" t="str">
        <f>F33</f>
        <v>S1a1a1</v>
      </c>
      <c r="N354" s="35">
        <v>1.520573E7</v>
      </c>
      <c r="O354" s="35">
        <v>1.3093816E7</v>
      </c>
      <c r="P354" s="35" t="s">
        <v>219</v>
      </c>
    </row>
    <row r="355">
      <c r="J355" s="35" t="s">
        <v>423</v>
      </c>
      <c r="K355" t="str">
        <f>F33</f>
        <v>S1a1a1</v>
      </c>
      <c r="N355" s="35">
        <v>1.5459634E7</v>
      </c>
      <c r="O355" s="35">
        <v>1.3347754E7</v>
      </c>
      <c r="P355" s="35" t="s">
        <v>221</v>
      </c>
    </row>
    <row r="356">
      <c r="J356" s="35" t="s">
        <v>424</v>
      </c>
      <c r="K356" t="str">
        <f>F33</f>
        <v>S1a1a1</v>
      </c>
      <c r="N356" s="35">
        <v>1.5596005E7</v>
      </c>
      <c r="O356" s="35">
        <v>1.3484125E7</v>
      </c>
      <c r="P356" s="35" t="s">
        <v>232</v>
      </c>
    </row>
    <row r="357">
      <c r="J357" s="35" t="s">
        <v>425</v>
      </c>
      <c r="K357" t="str">
        <f>F33</f>
        <v>S1a1a1</v>
      </c>
      <c r="N357" s="35">
        <v>1.5697777E7</v>
      </c>
      <c r="O357" s="35">
        <v>1.3585897E7</v>
      </c>
      <c r="P357" s="35" t="s">
        <v>232</v>
      </c>
    </row>
    <row r="358">
      <c r="J358" s="35" t="s">
        <v>426</v>
      </c>
      <c r="K358" t="str">
        <f>F33</f>
        <v>S1a1a1</v>
      </c>
      <c r="N358" s="35">
        <v>1.5779535E7</v>
      </c>
      <c r="O358" s="35">
        <v>1.3667655E7</v>
      </c>
      <c r="P358" s="35" t="s">
        <v>224</v>
      </c>
    </row>
    <row r="359">
      <c r="J359" s="35" t="s">
        <v>427</v>
      </c>
      <c r="K359" t="str">
        <f>F33</f>
        <v>S1a1a1</v>
      </c>
      <c r="N359" s="35">
        <v>1.5957342E7</v>
      </c>
      <c r="O359" s="35">
        <v>1.3845462E7</v>
      </c>
      <c r="P359" s="35" t="s">
        <v>221</v>
      </c>
    </row>
    <row r="360">
      <c r="J360" s="35" t="s">
        <v>428</v>
      </c>
      <c r="K360" t="str">
        <f>F33</f>
        <v>S1a1a1</v>
      </c>
      <c r="N360" s="35">
        <v>1.6214748E7</v>
      </c>
      <c r="O360" s="35">
        <v>1.4102868E7</v>
      </c>
      <c r="P360" s="35" t="s">
        <v>219</v>
      </c>
    </row>
    <row r="361">
      <c r="J361" s="35" t="s">
        <v>429</v>
      </c>
      <c r="K361" t="str">
        <f>F33</f>
        <v>S1a1a1</v>
      </c>
      <c r="N361" s="35">
        <v>1.6341125E7</v>
      </c>
      <c r="O361" s="35">
        <v>1.4229245E7</v>
      </c>
      <c r="P361" s="35" t="s">
        <v>221</v>
      </c>
    </row>
    <row r="362">
      <c r="J362" s="35" t="s">
        <v>430</v>
      </c>
      <c r="K362" t="str">
        <f>F33</f>
        <v>S1a1a1</v>
      </c>
      <c r="N362" s="35">
        <v>1.637591E7</v>
      </c>
      <c r="O362" s="35">
        <v>1.426403E7</v>
      </c>
      <c r="P362" s="35" t="s">
        <v>242</v>
      </c>
    </row>
    <row r="363">
      <c r="J363" s="35" t="s">
        <v>431</v>
      </c>
      <c r="K363" t="str">
        <f>F33</f>
        <v>S1a1a1</v>
      </c>
      <c r="N363" s="35">
        <v>1.6410785E7</v>
      </c>
      <c r="O363" s="35">
        <v>1.4298905E7</v>
      </c>
      <c r="P363" s="35" t="s">
        <v>221</v>
      </c>
    </row>
    <row r="364">
      <c r="J364" s="35" t="s">
        <v>432</v>
      </c>
      <c r="K364" s="35" t="str">
        <f>F33</f>
        <v>S1a1a1</v>
      </c>
      <c r="N364" s="35">
        <v>1.6616957E7</v>
      </c>
      <c r="O364" s="35">
        <v>1.4505077E7</v>
      </c>
      <c r="P364" s="35" t="s">
        <v>232</v>
      </c>
    </row>
    <row r="365">
      <c r="J365" s="35" t="s">
        <v>433</v>
      </c>
      <c r="K365" s="35" t="str">
        <f>F33</f>
        <v>S1a1a1</v>
      </c>
      <c r="M365" s="77" t="s">
        <v>434</v>
      </c>
      <c r="N365" s="35">
        <v>1.6701988E7</v>
      </c>
      <c r="O365" s="35">
        <v>1.4590108E7</v>
      </c>
      <c r="P365" s="35" t="s">
        <v>232</v>
      </c>
    </row>
    <row r="366">
      <c r="J366" s="35" t="s">
        <v>435</v>
      </c>
      <c r="K366" s="35" t="str">
        <f>F33</f>
        <v>S1a1a1</v>
      </c>
      <c r="N366" s="35">
        <v>1.6968056E7</v>
      </c>
      <c r="O366" s="35">
        <v>1.4856176E7</v>
      </c>
      <c r="P366" s="35" t="s">
        <v>232</v>
      </c>
    </row>
    <row r="367">
      <c r="J367" s="35" t="s">
        <v>436</v>
      </c>
      <c r="K367" s="35" t="str">
        <f>F33</f>
        <v>S1a1a1</v>
      </c>
      <c r="N367" s="35">
        <v>1.7152321E7</v>
      </c>
      <c r="O367" s="35">
        <v>1.5040441E7</v>
      </c>
      <c r="P367" s="35" t="s">
        <v>283</v>
      </c>
    </row>
    <row r="368">
      <c r="J368" s="35" t="s">
        <v>437</v>
      </c>
      <c r="K368" s="35" t="str">
        <f>F33</f>
        <v>S1a1a1</v>
      </c>
      <c r="N368" s="35">
        <v>1.7173677E7</v>
      </c>
      <c r="O368" s="35">
        <v>1.5061797E7</v>
      </c>
      <c r="P368" s="35" t="s">
        <v>232</v>
      </c>
    </row>
    <row r="369">
      <c r="J369" s="35" t="s">
        <v>438</v>
      </c>
      <c r="K369" s="35" t="str">
        <f>F33</f>
        <v>S1a1a1</v>
      </c>
      <c r="N369" s="35">
        <v>1.721072E7</v>
      </c>
      <c r="O369" s="35">
        <v>1.509884E7</v>
      </c>
      <c r="P369" s="35" t="s">
        <v>232</v>
      </c>
    </row>
    <row r="370">
      <c r="J370" s="35" t="s">
        <v>439</v>
      </c>
      <c r="K370" s="35" t="str">
        <f>F33</f>
        <v>S1a1a1</v>
      </c>
      <c r="N370" s="35">
        <v>1.7314356E7</v>
      </c>
      <c r="O370" s="35">
        <v>1.5202476E7</v>
      </c>
      <c r="P370" s="35" t="s">
        <v>216</v>
      </c>
    </row>
    <row r="371">
      <c r="J371" s="35" t="s">
        <v>440</v>
      </c>
      <c r="K371" s="35" t="str">
        <f>F33</f>
        <v>S1a1a1</v>
      </c>
      <c r="N371" s="35">
        <v>1.7361331E7</v>
      </c>
      <c r="O371" s="35">
        <v>1.5249451E7</v>
      </c>
      <c r="P371" s="35" t="s">
        <v>283</v>
      </c>
    </row>
    <row r="372">
      <c r="J372" s="35" t="s">
        <v>441</v>
      </c>
      <c r="K372" s="35" t="str">
        <f>F33</f>
        <v>S1a1a1</v>
      </c>
      <c r="N372" s="35">
        <v>1.7443218E7</v>
      </c>
      <c r="O372" s="35">
        <v>1.5331338E7</v>
      </c>
      <c r="P372" s="35" t="s">
        <v>221</v>
      </c>
    </row>
    <row r="373">
      <c r="J373" s="35" t="s">
        <v>442</v>
      </c>
      <c r="K373" s="35" t="str">
        <f>F33</f>
        <v>S1a1a1</v>
      </c>
      <c r="N373" s="35">
        <v>1.7455911E7</v>
      </c>
      <c r="O373" s="35">
        <v>1.5344031E7</v>
      </c>
      <c r="P373" s="35" t="s">
        <v>216</v>
      </c>
    </row>
    <row r="374">
      <c r="J374" s="35" t="s">
        <v>443</v>
      </c>
      <c r="K374" s="35" t="str">
        <f>F33</f>
        <v>S1a1a1</v>
      </c>
      <c r="N374" s="35">
        <v>1.7723796E7</v>
      </c>
      <c r="O374" s="35">
        <v>1.5611916E7</v>
      </c>
      <c r="P374" s="35" t="s">
        <v>216</v>
      </c>
    </row>
    <row r="375">
      <c r="J375" s="35" t="s">
        <v>444</v>
      </c>
      <c r="K375" s="35" t="str">
        <f>F33</f>
        <v>S1a1a1</v>
      </c>
      <c r="N375" s="35">
        <v>1.7942265E7</v>
      </c>
      <c r="O375" s="35">
        <v>1.5830385E7</v>
      </c>
      <c r="P375" s="35" t="s">
        <v>232</v>
      </c>
    </row>
    <row r="376">
      <c r="J376" s="35" t="s">
        <v>445</v>
      </c>
      <c r="K376" s="35" t="str">
        <f>F33</f>
        <v>S1a1a1</v>
      </c>
      <c r="N376" s="35">
        <v>1.8046263E7</v>
      </c>
      <c r="O376" s="35">
        <v>1.5934383E7</v>
      </c>
      <c r="P376" s="35" t="s">
        <v>221</v>
      </c>
    </row>
    <row r="377">
      <c r="J377" s="35" t="s">
        <v>446</v>
      </c>
      <c r="K377" s="35" t="str">
        <f>F33</f>
        <v>S1a1a1</v>
      </c>
      <c r="N377" s="35">
        <v>1.8176626E7</v>
      </c>
      <c r="O377" s="35">
        <v>1.6064746E7</v>
      </c>
      <c r="P377" s="35" t="s">
        <v>219</v>
      </c>
    </row>
    <row r="378">
      <c r="J378" s="35" t="s">
        <v>447</v>
      </c>
      <c r="K378" s="35" t="str">
        <f>F33</f>
        <v>S1a1a1</v>
      </c>
      <c r="N378" s="35">
        <v>1.8576402E7</v>
      </c>
      <c r="O378" s="35">
        <v>1.6464522E7</v>
      </c>
      <c r="P378" s="35" t="s">
        <v>221</v>
      </c>
    </row>
    <row r="379">
      <c r="J379" s="35" t="s">
        <v>448</v>
      </c>
      <c r="K379" s="35" t="str">
        <f>F33</f>
        <v>S1a1a1</v>
      </c>
      <c r="N379" s="35">
        <v>1.8597927E7</v>
      </c>
      <c r="O379" s="35">
        <v>1.6486047E7</v>
      </c>
      <c r="P379" s="35" t="s">
        <v>219</v>
      </c>
    </row>
    <row r="380">
      <c r="J380" s="35" t="s">
        <v>449</v>
      </c>
      <c r="K380" s="35" t="str">
        <f>F33</f>
        <v>S1a1a1</v>
      </c>
      <c r="N380" s="35">
        <v>1.865327E7</v>
      </c>
      <c r="O380" s="35">
        <v>1.654139E7</v>
      </c>
      <c r="P380" s="35" t="s">
        <v>224</v>
      </c>
    </row>
    <row r="381">
      <c r="J381" s="35" t="s">
        <v>450</v>
      </c>
      <c r="K381" s="35" t="str">
        <f>F33</f>
        <v>S1a1a1</v>
      </c>
      <c r="N381" s="35">
        <v>1.8691922E7</v>
      </c>
      <c r="O381" s="35">
        <v>1.6580042E7</v>
      </c>
      <c r="P381" s="35" t="s">
        <v>216</v>
      </c>
    </row>
    <row r="382">
      <c r="J382" s="35" t="s">
        <v>451</v>
      </c>
      <c r="K382" s="35" t="str">
        <f>F33</f>
        <v>S1a1a1</v>
      </c>
      <c r="N382" s="35">
        <v>1.8729578E7</v>
      </c>
      <c r="O382" s="35">
        <v>1.6617698E7</v>
      </c>
      <c r="P382" s="35" t="s">
        <v>219</v>
      </c>
    </row>
    <row r="383">
      <c r="J383" s="35" t="s">
        <v>452</v>
      </c>
      <c r="K383" s="35" t="str">
        <f>F33</f>
        <v>S1a1a1</v>
      </c>
      <c r="N383" s="35">
        <v>1.8921448E7</v>
      </c>
      <c r="O383" s="35">
        <v>1.6809568E7</v>
      </c>
      <c r="P383" s="35" t="s">
        <v>229</v>
      </c>
    </row>
    <row r="384">
      <c r="J384" s="35" t="s">
        <v>453</v>
      </c>
      <c r="K384" s="35" t="str">
        <f>F33</f>
        <v>S1a1a1</v>
      </c>
      <c r="N384" s="35">
        <v>1.9251543E7</v>
      </c>
      <c r="O384" s="35">
        <v>1.7139663E7</v>
      </c>
      <c r="P384" s="35" t="s">
        <v>219</v>
      </c>
    </row>
    <row r="385">
      <c r="J385" s="35" t="s">
        <v>454</v>
      </c>
      <c r="K385" s="35" t="str">
        <f>F33</f>
        <v>S1a1a1</v>
      </c>
      <c r="N385" s="35">
        <v>1.9463221E7</v>
      </c>
      <c r="O385" s="35">
        <v>1.7351341E7</v>
      </c>
      <c r="P385" s="35" t="s">
        <v>219</v>
      </c>
    </row>
    <row r="386">
      <c r="J386" s="35" t="s">
        <v>455</v>
      </c>
      <c r="K386" s="35" t="str">
        <f>F33</f>
        <v>S1a1a1</v>
      </c>
      <c r="N386" s="35">
        <v>1.9506E7</v>
      </c>
      <c r="O386" s="35">
        <v>1.739412E7</v>
      </c>
      <c r="P386" s="35" t="s">
        <v>219</v>
      </c>
    </row>
    <row r="387">
      <c r="J387" s="35" t="s">
        <v>456</v>
      </c>
      <c r="K387" s="35" t="str">
        <f>F33</f>
        <v>S1a1a1</v>
      </c>
      <c r="N387" s="35">
        <v>2.1159911E7</v>
      </c>
      <c r="O387" s="35">
        <v>1.8998025E7</v>
      </c>
      <c r="P387" s="35" t="s">
        <v>232</v>
      </c>
    </row>
    <row r="388">
      <c r="J388" s="35" t="s">
        <v>457</v>
      </c>
      <c r="K388" s="35" t="str">
        <f>F33</f>
        <v>S1a1a1</v>
      </c>
      <c r="N388" s="35">
        <v>2.1176105E7</v>
      </c>
      <c r="O388" s="35">
        <v>1.9014219E7</v>
      </c>
      <c r="P388" s="35" t="s">
        <v>232</v>
      </c>
    </row>
    <row r="389">
      <c r="J389" s="35" t="s">
        <v>458</v>
      </c>
      <c r="K389" s="35" t="str">
        <f>F33</f>
        <v>S1a1a1</v>
      </c>
      <c r="N389" s="35">
        <v>2.1237839E7</v>
      </c>
      <c r="O389" s="35">
        <v>1.9075953E7</v>
      </c>
      <c r="P389" s="35" t="s">
        <v>229</v>
      </c>
    </row>
    <row r="390">
      <c r="J390" s="35" t="s">
        <v>459</v>
      </c>
      <c r="K390" s="35" t="str">
        <f>F33</f>
        <v>S1a1a1</v>
      </c>
      <c r="N390" s="35">
        <v>2.1332312E7</v>
      </c>
      <c r="O390" s="35">
        <v>1.9170426E7</v>
      </c>
      <c r="P390" s="35" t="s">
        <v>224</v>
      </c>
    </row>
    <row r="391">
      <c r="J391" s="35" t="s">
        <v>460</v>
      </c>
      <c r="K391" s="35" t="str">
        <f>F33</f>
        <v>S1a1a1</v>
      </c>
      <c r="N391" s="35">
        <v>2.1545799E7</v>
      </c>
      <c r="O391" s="35">
        <v>1.9383913E7</v>
      </c>
      <c r="P391" s="35" t="s">
        <v>232</v>
      </c>
    </row>
    <row r="392">
      <c r="J392" s="35" t="s">
        <v>461</v>
      </c>
      <c r="K392" s="35" t="str">
        <f>F33</f>
        <v>S1a1a1</v>
      </c>
      <c r="N392" s="35">
        <v>2.1963819E7</v>
      </c>
      <c r="O392" s="35">
        <v>1.9801933E7</v>
      </c>
      <c r="P392" s="35" t="s">
        <v>221</v>
      </c>
    </row>
    <row r="393">
      <c r="J393" s="35" t="s">
        <v>462</v>
      </c>
      <c r="K393" s="35" t="str">
        <f>F33</f>
        <v>S1a1a1</v>
      </c>
      <c r="N393" s="35">
        <v>2.2542478E7</v>
      </c>
      <c r="O393" s="35">
        <v>2.0380592E7</v>
      </c>
      <c r="P393" s="35" t="s">
        <v>242</v>
      </c>
    </row>
    <row r="394">
      <c r="J394" s="35" t="s">
        <v>463</v>
      </c>
      <c r="K394" s="35" t="str">
        <f>F33</f>
        <v>S1a1a1</v>
      </c>
      <c r="N394" s="35">
        <v>2.2711033E7</v>
      </c>
      <c r="O394" s="35">
        <v>2.0549147E7</v>
      </c>
      <c r="P394" s="35" t="s">
        <v>224</v>
      </c>
    </row>
    <row r="395">
      <c r="J395" s="35" t="s">
        <v>464</v>
      </c>
      <c r="K395" s="35" t="str">
        <f>F33</f>
        <v>S1a1a1</v>
      </c>
      <c r="N395" s="35">
        <v>2.2715672E7</v>
      </c>
      <c r="O395" s="35">
        <v>2.0553786E7</v>
      </c>
      <c r="P395" s="35" t="s">
        <v>232</v>
      </c>
    </row>
    <row r="396">
      <c r="J396" s="35" t="s">
        <v>465</v>
      </c>
      <c r="K396" s="35" t="str">
        <f>F33</f>
        <v>S1a1a1</v>
      </c>
      <c r="N396" s="35">
        <v>2.2785421E7</v>
      </c>
      <c r="O396" s="35">
        <v>2.0623535E7</v>
      </c>
      <c r="P396" s="35" t="s">
        <v>219</v>
      </c>
    </row>
    <row r="397">
      <c r="J397" s="35" t="s">
        <v>466</v>
      </c>
      <c r="K397" s="35" t="str">
        <f>F33</f>
        <v>S1a1a1</v>
      </c>
      <c r="N397" s="35">
        <v>2.2820569E7</v>
      </c>
      <c r="O397" s="35">
        <v>2.0658683E7</v>
      </c>
      <c r="P397" s="35" t="s">
        <v>242</v>
      </c>
    </row>
    <row r="398">
      <c r="J398" s="35" t="s">
        <v>467</v>
      </c>
      <c r="K398" s="35" t="str">
        <f>F33</f>
        <v>S1a1a1</v>
      </c>
      <c r="N398" s="35">
        <v>2.2831727E7</v>
      </c>
      <c r="O398" s="35">
        <v>2.0669841E7</v>
      </c>
      <c r="P398" s="35" t="s">
        <v>216</v>
      </c>
    </row>
    <row r="399">
      <c r="J399" s="35" t="s">
        <v>468</v>
      </c>
      <c r="K399" s="35" t="str">
        <f>F33</f>
        <v>S1a1a1</v>
      </c>
      <c r="N399" s="35">
        <v>2.2926917E7</v>
      </c>
      <c r="O399" s="35">
        <v>2.0765031E7</v>
      </c>
      <c r="P399" s="35" t="s">
        <v>221</v>
      </c>
    </row>
    <row r="400">
      <c r="J400" s="35" t="s">
        <v>469</v>
      </c>
      <c r="K400" s="35" t="str">
        <f>F33</f>
        <v>S1a1a1</v>
      </c>
      <c r="N400" s="35">
        <v>2.2957291E7</v>
      </c>
      <c r="O400" s="35">
        <v>2.0795405E7</v>
      </c>
      <c r="P400" s="35" t="s">
        <v>302</v>
      </c>
    </row>
    <row r="401">
      <c r="J401" s="35" t="s">
        <v>470</v>
      </c>
      <c r="K401" s="35" t="str">
        <f>F33</f>
        <v>S1a1a1</v>
      </c>
      <c r="N401" s="35">
        <v>2.3051538E7</v>
      </c>
      <c r="O401" s="35">
        <v>2.0889652E7</v>
      </c>
      <c r="P401" s="35" t="s">
        <v>232</v>
      </c>
    </row>
    <row r="402">
      <c r="J402" s="35" t="s">
        <v>471</v>
      </c>
      <c r="K402" s="35" t="str">
        <f>F33</f>
        <v>S1a1a1</v>
      </c>
      <c r="N402" s="35">
        <v>2.3086302E7</v>
      </c>
      <c r="O402" s="35">
        <v>2.0924416E7</v>
      </c>
      <c r="P402" s="35" t="s">
        <v>221</v>
      </c>
    </row>
    <row r="403">
      <c r="J403" s="35" t="s">
        <v>472</v>
      </c>
      <c r="K403" s="35" t="str">
        <f>F33</f>
        <v>S1a1a1</v>
      </c>
      <c r="N403" s="35">
        <v>2.3152798E7</v>
      </c>
      <c r="O403" s="35">
        <v>2.0990912E7</v>
      </c>
      <c r="P403" s="35" t="s">
        <v>221</v>
      </c>
    </row>
    <row r="404">
      <c r="J404" s="35" t="s">
        <v>473</v>
      </c>
      <c r="K404" s="35" t="str">
        <f>F33</f>
        <v>S1a1a1</v>
      </c>
      <c r="N404" s="35">
        <v>2.3251192E7</v>
      </c>
      <c r="O404" s="35">
        <v>2.1089306E7</v>
      </c>
      <c r="P404" s="35" t="s">
        <v>232</v>
      </c>
    </row>
    <row r="405">
      <c r="J405" s="35" t="s">
        <v>474</v>
      </c>
      <c r="K405" s="35" t="str">
        <f>F33</f>
        <v>S1a1a1</v>
      </c>
      <c r="N405" s="35">
        <v>2.3324441E7</v>
      </c>
      <c r="O405" s="35">
        <v>2.1162555E7</v>
      </c>
      <c r="P405" s="35" t="s">
        <v>221</v>
      </c>
    </row>
    <row r="406">
      <c r="J406" s="35" t="s">
        <v>475</v>
      </c>
      <c r="K406" s="35" t="str">
        <f>F33</f>
        <v>S1a1a1</v>
      </c>
      <c r="N406" s="35">
        <v>2.3616483E7</v>
      </c>
      <c r="O406" s="35">
        <v>2.1454597E7</v>
      </c>
      <c r="P406" s="35" t="s">
        <v>232</v>
      </c>
    </row>
    <row r="407">
      <c r="J407" s="35" t="s">
        <v>476</v>
      </c>
      <c r="K407" s="35" t="str">
        <f>F33</f>
        <v>S1a1a1</v>
      </c>
      <c r="N407" s="35">
        <v>2.383889E7</v>
      </c>
      <c r="O407" s="35">
        <v>2.1677004E7</v>
      </c>
      <c r="P407" s="35" t="s">
        <v>232</v>
      </c>
    </row>
    <row r="408">
      <c r="J408" s="35" t="s">
        <v>477</v>
      </c>
      <c r="K408" s="35" t="str">
        <f>F33</f>
        <v>S1a1a1</v>
      </c>
      <c r="N408" s="35">
        <v>2.440334E7</v>
      </c>
      <c r="O408" s="35">
        <v>2.2257193E7</v>
      </c>
      <c r="P408" s="35" t="s">
        <v>283</v>
      </c>
    </row>
    <row r="409">
      <c r="J409" s="35" t="s">
        <v>478</v>
      </c>
      <c r="K409" s="35" t="str">
        <f>F33</f>
        <v>S1a1a1</v>
      </c>
      <c r="N409" s="35">
        <v>2.4446641E7</v>
      </c>
      <c r="O409" s="35">
        <v>2.2300494E7</v>
      </c>
      <c r="P409" s="35" t="s">
        <v>255</v>
      </c>
    </row>
    <row r="410">
      <c r="J410" s="35" t="s">
        <v>479</v>
      </c>
      <c r="K410" s="35" t="str">
        <f>F33</f>
        <v>S1a1a1</v>
      </c>
      <c r="N410" s="35">
        <v>2.8710332E7</v>
      </c>
      <c r="O410" s="35">
        <v>2.6564185E7</v>
      </c>
      <c r="P410" s="35" t="s">
        <v>216</v>
      </c>
    </row>
    <row r="411">
      <c r="J411" s="35" t="s">
        <v>480</v>
      </c>
      <c r="K411" s="35" t="str">
        <f t="shared" ref="K411:K412" si="2">F33</f>
        <v>S1a1a1</v>
      </c>
      <c r="N411" s="35">
        <v>2685742.0</v>
      </c>
      <c r="O411" s="35">
        <v>2817701.0</v>
      </c>
      <c r="P411" s="35" t="s">
        <v>221</v>
      </c>
    </row>
    <row r="412">
      <c r="J412" s="35" t="s">
        <v>39</v>
      </c>
      <c r="K412" t="str">
        <f t="shared" si="2"/>
        <v>S1a1a1~</v>
      </c>
      <c r="M412" s="77" t="s">
        <v>481</v>
      </c>
      <c r="N412" s="35">
        <v>1.4484471E7</v>
      </c>
      <c r="O412" s="35">
        <v>1.236374E7</v>
      </c>
      <c r="P412" s="35" t="s">
        <v>302</v>
      </c>
    </row>
    <row r="413">
      <c r="J413" s="35" t="s">
        <v>482</v>
      </c>
      <c r="K413" t="str">
        <f>G35</f>
        <v>S1a1a1a~</v>
      </c>
      <c r="N413" s="35">
        <v>2695259.0</v>
      </c>
      <c r="O413" s="35">
        <v>2827218.0</v>
      </c>
      <c r="P413" s="35" t="s">
        <v>255</v>
      </c>
    </row>
    <row r="414">
      <c r="J414" s="35" t="s">
        <v>483</v>
      </c>
      <c r="K414" t="str">
        <f>G35</f>
        <v>S1a1a1a~</v>
      </c>
      <c r="N414" s="35">
        <v>2822038.0</v>
      </c>
      <c r="O414" s="35">
        <v>2953997.0</v>
      </c>
      <c r="P414" s="35" t="s">
        <v>232</v>
      </c>
    </row>
    <row r="415">
      <c r="J415" s="35" t="s">
        <v>484</v>
      </c>
      <c r="K415" t="str">
        <f>G35</f>
        <v>S1a1a1a~</v>
      </c>
      <c r="N415" s="35">
        <v>2908908.0</v>
      </c>
      <c r="O415" s="35">
        <v>3040867.0</v>
      </c>
      <c r="P415" s="35" t="s">
        <v>255</v>
      </c>
    </row>
    <row r="416">
      <c r="J416" s="35" t="s">
        <v>485</v>
      </c>
      <c r="K416" t="str">
        <f>G35</f>
        <v>S1a1a1a~</v>
      </c>
      <c r="N416" s="35">
        <v>6864544.0</v>
      </c>
      <c r="O416" s="35">
        <v>6996503.0</v>
      </c>
      <c r="P416" s="35" t="s">
        <v>232</v>
      </c>
    </row>
    <row r="417">
      <c r="J417" s="35" t="s">
        <v>486</v>
      </c>
      <c r="K417" t="str">
        <f t="shared" ref="K417:K418" si="3">G35</f>
        <v>S1a1a1a~</v>
      </c>
      <c r="N417" s="35">
        <v>7194479.0</v>
      </c>
      <c r="O417" s="35">
        <v>7326438.0</v>
      </c>
      <c r="P417" s="35" t="s">
        <v>255</v>
      </c>
    </row>
    <row r="418">
      <c r="J418" s="35" t="s">
        <v>487</v>
      </c>
      <c r="K418" t="str">
        <f t="shared" si="3"/>
        <v>S1a1a1b~</v>
      </c>
      <c r="N418" s="35">
        <v>6717989.0</v>
      </c>
      <c r="O418" s="35">
        <v>6849948.0</v>
      </c>
      <c r="P418" s="35" t="s">
        <v>221</v>
      </c>
    </row>
    <row r="419">
      <c r="J419" s="35" t="s">
        <v>488</v>
      </c>
      <c r="K419" t="str">
        <f>G36</f>
        <v>S1a1a1b~</v>
      </c>
      <c r="N419" s="35">
        <v>8368525.0</v>
      </c>
      <c r="O419" s="35">
        <v>8500484.0</v>
      </c>
      <c r="P419" s="35" t="s">
        <v>232</v>
      </c>
    </row>
    <row r="420">
      <c r="J420" s="35" t="s">
        <v>489</v>
      </c>
      <c r="K420" t="str">
        <f>G36</f>
        <v>S1a1a1b~</v>
      </c>
      <c r="M420" s="77" t="s">
        <v>490</v>
      </c>
      <c r="N420" s="35">
        <v>8447589.0</v>
      </c>
      <c r="O420" s="35">
        <v>8579548.0</v>
      </c>
      <c r="P420" s="35" t="s">
        <v>221</v>
      </c>
    </row>
    <row r="421">
      <c r="J421" s="35" t="s">
        <v>491</v>
      </c>
      <c r="K421" t="str">
        <f>G36</f>
        <v>S1a1a1b~</v>
      </c>
      <c r="N421" s="35">
        <v>1.4646664E7</v>
      </c>
      <c r="O421" s="35">
        <v>1.2534728E7</v>
      </c>
      <c r="P421" s="35" t="s">
        <v>232</v>
      </c>
    </row>
    <row r="422">
      <c r="J422" s="35" t="s">
        <v>492</v>
      </c>
      <c r="K422" t="str">
        <f>G36</f>
        <v>S1a1a1b~</v>
      </c>
      <c r="N422" s="35">
        <v>1.5020714E7</v>
      </c>
      <c r="O422" s="35">
        <v>1.2908803E7</v>
      </c>
      <c r="P422" s="35" t="s">
        <v>221</v>
      </c>
    </row>
    <row r="423">
      <c r="J423" s="35" t="s">
        <v>45</v>
      </c>
      <c r="K423" t="str">
        <f>F37</f>
        <v>S1a1a2~</v>
      </c>
      <c r="N423" s="35">
        <v>2791419.0</v>
      </c>
      <c r="O423" s="35">
        <v>2923378.0</v>
      </c>
      <c r="P423" s="35" t="s">
        <v>219</v>
      </c>
    </row>
    <row r="424">
      <c r="J424" s="35" t="s">
        <v>493</v>
      </c>
      <c r="K424" t="str">
        <f>E38</f>
        <v>S1a1b</v>
      </c>
      <c r="M424" s="35" t="s">
        <v>494</v>
      </c>
      <c r="N424" s="35">
        <v>1.5481372E7</v>
      </c>
      <c r="O424" s="35">
        <v>1.3369492E7</v>
      </c>
      <c r="P424" s="35" t="s">
        <v>285</v>
      </c>
    </row>
    <row r="425">
      <c r="J425" s="35" t="s">
        <v>495</v>
      </c>
      <c r="K425" t="str">
        <f>E38</f>
        <v>S1a1b</v>
      </c>
      <c r="M425" s="77" t="s">
        <v>496</v>
      </c>
      <c r="N425" s="35">
        <v>1.4001024E7</v>
      </c>
      <c r="O425" s="35">
        <v>1.1880318E7</v>
      </c>
      <c r="P425" s="35" t="s">
        <v>285</v>
      </c>
    </row>
    <row r="426">
      <c r="J426" s="35" t="s">
        <v>49</v>
      </c>
      <c r="K426" t="str">
        <f>F39</f>
        <v>S1a1b1</v>
      </c>
      <c r="M426" s="35" t="s">
        <v>497</v>
      </c>
      <c r="N426" s="35">
        <v>1.5022762E7</v>
      </c>
      <c r="O426" s="35">
        <v>1.2910851E7</v>
      </c>
      <c r="P426" s="35" t="s">
        <v>498</v>
      </c>
    </row>
    <row r="427">
      <c r="J427" s="35" t="s">
        <v>51</v>
      </c>
      <c r="K427" t="str">
        <f t="shared" ref="K427:K430" si="4">G40</f>
        <v>S1a1b1a</v>
      </c>
      <c r="M427" s="73" t="s">
        <v>499</v>
      </c>
      <c r="N427" s="35">
        <v>1.4487066E7</v>
      </c>
      <c r="O427" s="35">
        <v>1.2366335E7</v>
      </c>
      <c r="P427" s="35" t="s">
        <v>235</v>
      </c>
    </row>
    <row r="428">
      <c r="J428" s="35" t="s">
        <v>53</v>
      </c>
      <c r="K428" t="str">
        <f t="shared" si="4"/>
        <v>S1a1b1b</v>
      </c>
      <c r="M428" s="73" t="s">
        <v>500</v>
      </c>
      <c r="N428" s="35">
        <v>1.4482194E7</v>
      </c>
      <c r="O428" s="35">
        <v>1.2361463E7</v>
      </c>
      <c r="P428" s="35" t="s">
        <v>232</v>
      </c>
    </row>
    <row r="429">
      <c r="J429" s="35" t="s">
        <v>55</v>
      </c>
      <c r="K429" t="str">
        <f t="shared" si="4"/>
        <v>S1a1b1c</v>
      </c>
      <c r="M429" s="73" t="s">
        <v>501</v>
      </c>
      <c r="N429" s="35">
        <v>6739772.0</v>
      </c>
      <c r="O429" s="35">
        <v>6871731.0</v>
      </c>
      <c r="P429" s="35" t="s">
        <v>232</v>
      </c>
    </row>
    <row r="430">
      <c r="J430" s="35" t="s">
        <v>502</v>
      </c>
      <c r="K430" t="str">
        <f t="shared" si="4"/>
        <v>S1a1b1d</v>
      </c>
      <c r="M430" s="73" t="s">
        <v>503</v>
      </c>
      <c r="N430" s="35">
        <v>2804498.0</v>
      </c>
      <c r="O430" s="35">
        <v>2936457.0</v>
      </c>
      <c r="P430" s="35" t="s">
        <v>255</v>
      </c>
    </row>
    <row r="431">
      <c r="J431" s="35" t="s">
        <v>504</v>
      </c>
      <c r="K431" t="str">
        <f>G43</f>
        <v>S1a1b1d</v>
      </c>
      <c r="M431" s="73" t="s">
        <v>505</v>
      </c>
      <c r="N431" s="35">
        <v>8025025.0</v>
      </c>
      <c r="O431" s="35">
        <v>8156984.0</v>
      </c>
      <c r="P431" s="35" t="s">
        <v>232</v>
      </c>
    </row>
    <row r="432">
      <c r="J432" s="35" t="s">
        <v>506</v>
      </c>
      <c r="K432" t="str">
        <f>G43</f>
        <v>S1a1b1d</v>
      </c>
      <c r="M432" s="73" t="s">
        <v>507</v>
      </c>
      <c r="N432" s="35">
        <v>1.9305146E7</v>
      </c>
      <c r="O432" s="35">
        <v>1.7193266E7</v>
      </c>
      <c r="P432" s="35" t="s">
        <v>232</v>
      </c>
    </row>
    <row r="433">
      <c r="J433" s="79" t="s">
        <v>508</v>
      </c>
      <c r="K433" t="str">
        <f>G43</f>
        <v>S1a1b1d</v>
      </c>
      <c r="M433" s="79" t="s">
        <v>509</v>
      </c>
      <c r="N433" s="79">
        <v>1.393991E7</v>
      </c>
      <c r="O433" s="79">
        <v>1.1819204E7</v>
      </c>
      <c r="P433" s="79" t="s">
        <v>221</v>
      </c>
    </row>
    <row r="434">
      <c r="J434" s="79" t="s">
        <v>510</v>
      </c>
      <c r="K434" t="str">
        <f>G43</f>
        <v>S1a1b1d</v>
      </c>
      <c r="M434" s="79" t="s">
        <v>511</v>
      </c>
      <c r="N434" s="79">
        <v>2.3841285E7</v>
      </c>
      <c r="O434" s="79">
        <v>2.1679399E7</v>
      </c>
      <c r="P434" s="79" t="s">
        <v>232</v>
      </c>
    </row>
    <row r="435">
      <c r="J435" s="35" t="s">
        <v>512</v>
      </c>
      <c r="K435" t="str">
        <f>G43</f>
        <v>S1a1b1d</v>
      </c>
      <c r="M435" s="79" t="s">
        <v>513</v>
      </c>
      <c r="N435" s="79">
        <v>1.3928055E7</v>
      </c>
      <c r="O435" s="79">
        <v>1.1807349E7</v>
      </c>
      <c r="P435" s="79" t="s">
        <v>232</v>
      </c>
    </row>
    <row r="436">
      <c r="J436" s="35" t="s">
        <v>514</v>
      </c>
      <c r="K436" t="str">
        <f>G43</f>
        <v>S1a1b1d</v>
      </c>
      <c r="M436" s="73" t="s">
        <v>515</v>
      </c>
      <c r="N436" s="35">
        <v>8491251.0</v>
      </c>
      <c r="O436" s="35">
        <v>8623210.0</v>
      </c>
      <c r="P436" s="35" t="s">
        <v>221</v>
      </c>
    </row>
    <row r="437">
      <c r="J437" s="35" t="s">
        <v>516</v>
      </c>
      <c r="K437" t="str">
        <f>G43</f>
        <v>S1a1b1d</v>
      </c>
      <c r="M437" s="73" t="s">
        <v>517</v>
      </c>
      <c r="N437" s="35">
        <v>1.62561E7</v>
      </c>
      <c r="O437" s="35">
        <v>1.414422E7</v>
      </c>
      <c r="P437" s="35" t="s">
        <v>221</v>
      </c>
    </row>
    <row r="438">
      <c r="J438" s="35" t="s">
        <v>518</v>
      </c>
      <c r="K438" t="str">
        <f>G43</f>
        <v>S1a1b1d</v>
      </c>
      <c r="M438" s="73" t="s">
        <v>519</v>
      </c>
      <c r="N438" s="35">
        <v>8418987.0</v>
      </c>
      <c r="O438" s="35">
        <v>8550946.0</v>
      </c>
      <c r="P438" s="35" t="s">
        <v>219</v>
      </c>
    </row>
    <row r="439">
      <c r="J439" s="35" t="s">
        <v>520</v>
      </c>
      <c r="K439" t="str">
        <f>G43</f>
        <v>S1a1b1d</v>
      </c>
      <c r="M439" s="73" t="s">
        <v>521</v>
      </c>
      <c r="N439" s="35">
        <v>2.3271118E7</v>
      </c>
      <c r="O439" s="35">
        <v>2.1109232E7</v>
      </c>
      <c r="P439" s="35" t="s">
        <v>232</v>
      </c>
    </row>
    <row r="440">
      <c r="J440" s="35" t="s">
        <v>522</v>
      </c>
      <c r="K440" t="str">
        <f>G43</f>
        <v>S1a1b1d</v>
      </c>
      <c r="M440" s="73" t="s">
        <v>523</v>
      </c>
      <c r="N440" s="35">
        <v>1.5751541E7</v>
      </c>
      <c r="O440" s="35">
        <v>1.3639661E7</v>
      </c>
      <c r="P440" s="35" t="s">
        <v>219</v>
      </c>
    </row>
    <row r="441">
      <c r="J441" s="35" t="s">
        <v>524</v>
      </c>
      <c r="K441" t="str">
        <f>G43</f>
        <v>S1a1b1d</v>
      </c>
      <c r="M441" s="73" t="s">
        <v>525</v>
      </c>
      <c r="N441" s="35">
        <v>8716864.0</v>
      </c>
      <c r="O441" s="35">
        <v>8848823.0</v>
      </c>
      <c r="P441" s="35" t="s">
        <v>219</v>
      </c>
    </row>
    <row r="442">
      <c r="J442" s="35" t="s">
        <v>526</v>
      </c>
      <c r="K442" t="str">
        <f>G43</f>
        <v>S1a1b1d</v>
      </c>
      <c r="M442" s="73" t="s">
        <v>527</v>
      </c>
      <c r="N442" s="35">
        <v>1.4920855E7</v>
      </c>
      <c r="O442" s="35">
        <v>1.280892E7</v>
      </c>
      <c r="P442" s="35" t="s">
        <v>232</v>
      </c>
    </row>
    <row r="443">
      <c r="J443" s="79" t="s">
        <v>528</v>
      </c>
      <c r="K443" t="str">
        <f>G43</f>
        <v>S1a1b1d</v>
      </c>
      <c r="L443" s="79" t="s">
        <v>529</v>
      </c>
      <c r="M443" s="79" t="s">
        <v>530</v>
      </c>
      <c r="N443" s="79">
        <v>1.4266006E7</v>
      </c>
      <c r="O443" s="79">
        <v>1.21453E7</v>
      </c>
      <c r="P443" s="79" t="s">
        <v>221</v>
      </c>
    </row>
    <row r="444">
      <c r="J444" s="79" t="s">
        <v>529</v>
      </c>
      <c r="K444" t="str">
        <f>G43</f>
        <v>S1a1b1d</v>
      </c>
      <c r="L444" s="79" t="s">
        <v>528</v>
      </c>
      <c r="M444" s="79" t="s">
        <v>530</v>
      </c>
      <c r="N444" s="79">
        <v>1.4266006E7</v>
      </c>
      <c r="O444" s="79">
        <v>1.21453E7</v>
      </c>
      <c r="P444" s="79" t="s">
        <v>221</v>
      </c>
    </row>
    <row r="445">
      <c r="J445" s="79" t="s">
        <v>531</v>
      </c>
      <c r="K445" t="str">
        <f>G43</f>
        <v>S1a1b1d</v>
      </c>
      <c r="L445" s="79" t="s">
        <v>532</v>
      </c>
      <c r="M445" s="79" t="s">
        <v>533</v>
      </c>
      <c r="N445" s="79">
        <v>1.4425012E7</v>
      </c>
      <c r="O445" s="79">
        <v>1.2304287E7</v>
      </c>
      <c r="P445" s="79" t="s">
        <v>232</v>
      </c>
    </row>
    <row r="446">
      <c r="J446" s="79" t="s">
        <v>532</v>
      </c>
      <c r="K446" t="str">
        <f>G43</f>
        <v>S1a1b1d</v>
      </c>
      <c r="L446" s="79" t="s">
        <v>531</v>
      </c>
      <c r="M446" s="79" t="s">
        <v>533</v>
      </c>
      <c r="N446" s="79">
        <v>1.4425012E7</v>
      </c>
      <c r="O446" s="79">
        <v>1.2304287E7</v>
      </c>
      <c r="P446" s="79" t="s">
        <v>232</v>
      </c>
    </row>
    <row r="447">
      <c r="J447" s="79" t="s">
        <v>534</v>
      </c>
      <c r="K447" t="str">
        <f>G43</f>
        <v>S1a1b1d</v>
      </c>
      <c r="L447" s="79" t="s">
        <v>535</v>
      </c>
      <c r="M447" s="79" t="s">
        <v>536</v>
      </c>
      <c r="N447" s="79">
        <v>1.8199219E7</v>
      </c>
      <c r="O447" s="79">
        <v>1.6087339E7</v>
      </c>
      <c r="P447" s="79" t="s">
        <v>242</v>
      </c>
    </row>
    <row r="448">
      <c r="J448" s="79" t="s">
        <v>535</v>
      </c>
      <c r="K448" t="str">
        <f>G43</f>
        <v>S1a1b1d</v>
      </c>
      <c r="L448" s="79" t="s">
        <v>534</v>
      </c>
      <c r="M448" s="79" t="s">
        <v>536</v>
      </c>
      <c r="N448" s="79">
        <v>1.8199219E7</v>
      </c>
      <c r="O448" s="79">
        <v>1.6087339E7</v>
      </c>
      <c r="P448" s="79" t="s">
        <v>242</v>
      </c>
    </row>
    <row r="449">
      <c r="J449" s="79" t="s">
        <v>537</v>
      </c>
      <c r="K449" t="str">
        <f>G43</f>
        <v>S1a1b1d</v>
      </c>
      <c r="M449" s="79" t="s">
        <v>538</v>
      </c>
      <c r="N449" s="79">
        <v>2.3793774E7</v>
      </c>
      <c r="O449" s="79">
        <v>2.1631888E7</v>
      </c>
      <c r="P449" s="79" t="s">
        <v>232</v>
      </c>
    </row>
    <row r="450">
      <c r="J450" s="79" t="s">
        <v>539</v>
      </c>
      <c r="K450" t="str">
        <f>G43</f>
        <v>S1a1b1d</v>
      </c>
      <c r="M450" s="79" t="s">
        <v>540</v>
      </c>
      <c r="N450" s="79">
        <v>2.8623777E7</v>
      </c>
      <c r="O450" s="83">
        <v>2.647763E7</v>
      </c>
      <c r="P450" s="79" t="s">
        <v>224</v>
      </c>
    </row>
    <row r="451">
      <c r="J451" s="79" t="s">
        <v>541</v>
      </c>
      <c r="K451" t="str">
        <f>G43</f>
        <v>S1a1b1d</v>
      </c>
      <c r="L451" s="79" t="s">
        <v>542</v>
      </c>
      <c r="N451" s="79">
        <v>1.4668008E7</v>
      </c>
      <c r="O451" s="79">
        <v>1.2556074E7</v>
      </c>
      <c r="P451" s="79" t="s">
        <v>221</v>
      </c>
    </row>
    <row r="452">
      <c r="J452" s="79" t="s">
        <v>542</v>
      </c>
      <c r="K452" t="str">
        <f>G43</f>
        <v>S1a1b1d</v>
      </c>
      <c r="L452" s="79" t="s">
        <v>541</v>
      </c>
      <c r="N452" s="79">
        <v>1.4668008E7</v>
      </c>
      <c r="O452" s="79">
        <v>1.2556074E7</v>
      </c>
      <c r="P452" s="79" t="s">
        <v>221</v>
      </c>
    </row>
    <row r="453">
      <c r="J453" s="79" t="s">
        <v>543</v>
      </c>
      <c r="K453" t="str">
        <f>G43</f>
        <v>S1a1b1d</v>
      </c>
      <c r="L453" s="79" t="s">
        <v>544</v>
      </c>
      <c r="M453" s="79" t="s">
        <v>545</v>
      </c>
      <c r="N453" s="79">
        <v>1.4830414E7</v>
      </c>
      <c r="O453" s="79">
        <v>1.2718481E7</v>
      </c>
      <c r="P453" s="79" t="s">
        <v>219</v>
      </c>
    </row>
    <row r="454">
      <c r="J454" s="79" t="s">
        <v>544</v>
      </c>
      <c r="K454" t="str">
        <f>G43</f>
        <v>S1a1b1d</v>
      </c>
      <c r="L454" s="79" t="s">
        <v>543</v>
      </c>
      <c r="M454" s="79" t="s">
        <v>545</v>
      </c>
      <c r="N454" s="79">
        <v>1.4830414E7</v>
      </c>
      <c r="O454" s="79">
        <v>1.2718481E7</v>
      </c>
      <c r="P454" s="79" t="s">
        <v>219</v>
      </c>
    </row>
    <row r="455">
      <c r="J455" s="35" t="s">
        <v>546</v>
      </c>
      <c r="K455" t="str">
        <f>G43</f>
        <v>S1a1b1d</v>
      </c>
      <c r="M455" s="73" t="s">
        <v>547</v>
      </c>
      <c r="N455" s="35">
        <v>2658341.0</v>
      </c>
      <c r="O455" s="35">
        <v>2790300.0</v>
      </c>
      <c r="P455" s="35" t="s">
        <v>221</v>
      </c>
    </row>
    <row r="456">
      <c r="J456" s="35" t="s">
        <v>548</v>
      </c>
      <c r="K456" t="str">
        <f>G43</f>
        <v>S1a1b1d</v>
      </c>
      <c r="M456" s="73" t="s">
        <v>549</v>
      </c>
      <c r="N456" s="35">
        <v>2659355.0</v>
      </c>
      <c r="O456" s="35">
        <v>2791314.0</v>
      </c>
      <c r="P456" s="35" t="s">
        <v>216</v>
      </c>
    </row>
    <row r="457">
      <c r="J457" s="35" t="s">
        <v>550</v>
      </c>
      <c r="K457" t="str">
        <f>G43</f>
        <v>S1a1b1d</v>
      </c>
      <c r="M457" s="73" t="s">
        <v>551</v>
      </c>
      <c r="N457" s="35">
        <v>2802247.0</v>
      </c>
      <c r="O457" s="35">
        <v>2934206.0</v>
      </c>
      <c r="P457" s="35" t="s">
        <v>232</v>
      </c>
    </row>
    <row r="458">
      <c r="J458" s="35" t="s">
        <v>552</v>
      </c>
      <c r="K458" t="str">
        <f>G43</f>
        <v>S1a1b1d</v>
      </c>
      <c r="M458" s="73" t="s">
        <v>553</v>
      </c>
      <c r="N458" s="35">
        <v>2854616.0</v>
      </c>
      <c r="O458" s="35">
        <v>2986575.0</v>
      </c>
      <c r="P458" s="35" t="s">
        <v>235</v>
      </c>
    </row>
    <row r="459">
      <c r="J459" s="35" t="s">
        <v>554</v>
      </c>
      <c r="K459" t="str">
        <f>G43</f>
        <v>S1a1b1d</v>
      </c>
      <c r="M459" s="73" t="s">
        <v>555</v>
      </c>
      <c r="N459" s="35">
        <v>6655414.0</v>
      </c>
      <c r="O459" s="35">
        <v>6787373.0</v>
      </c>
      <c r="P459" s="35" t="s">
        <v>224</v>
      </c>
    </row>
    <row r="460">
      <c r="J460" s="35" t="s">
        <v>556</v>
      </c>
      <c r="K460" t="str">
        <f>G43</f>
        <v>S1a1b1d</v>
      </c>
      <c r="M460" s="73" t="s">
        <v>557</v>
      </c>
      <c r="N460" s="35">
        <v>6685155.0</v>
      </c>
      <c r="O460" s="35">
        <v>6817114.0</v>
      </c>
      <c r="P460" s="35" t="s">
        <v>232</v>
      </c>
    </row>
    <row r="461">
      <c r="J461" s="35" t="s">
        <v>558</v>
      </c>
      <c r="K461" t="str">
        <f>G43</f>
        <v>S1a1b1d</v>
      </c>
      <c r="M461" s="73" t="s">
        <v>559</v>
      </c>
      <c r="N461" s="35">
        <v>6692658.0</v>
      </c>
      <c r="O461" s="35">
        <v>6824617.0</v>
      </c>
      <c r="P461" s="35" t="s">
        <v>232</v>
      </c>
    </row>
    <row r="462">
      <c r="J462" s="35" t="s">
        <v>560</v>
      </c>
      <c r="K462" t="str">
        <f>G43</f>
        <v>S1a1b1d</v>
      </c>
      <c r="M462" s="73" t="s">
        <v>561</v>
      </c>
      <c r="N462" s="35">
        <v>6752669.0</v>
      </c>
      <c r="O462" s="35">
        <v>6884628.0</v>
      </c>
      <c r="P462" s="35" t="s">
        <v>219</v>
      </c>
    </row>
    <row r="463">
      <c r="J463" s="35" t="s">
        <v>562</v>
      </c>
      <c r="K463" t="str">
        <f>G43</f>
        <v>S1a1b1d</v>
      </c>
      <c r="M463" s="73" t="s">
        <v>563</v>
      </c>
      <c r="N463" s="35">
        <v>6829209.0</v>
      </c>
      <c r="O463" s="35">
        <v>6961168.0</v>
      </c>
      <c r="P463" s="35" t="s">
        <v>242</v>
      </c>
    </row>
    <row r="464">
      <c r="J464" s="35" t="s">
        <v>564</v>
      </c>
      <c r="K464" t="str">
        <f>G43</f>
        <v>S1a1b1d</v>
      </c>
      <c r="M464" s="73" t="s">
        <v>565</v>
      </c>
      <c r="N464" s="35">
        <v>6983751.0</v>
      </c>
      <c r="O464" s="35">
        <v>7115710.0</v>
      </c>
      <c r="P464" s="35" t="s">
        <v>221</v>
      </c>
    </row>
    <row r="465">
      <c r="J465" s="35" t="s">
        <v>566</v>
      </c>
      <c r="K465" t="str">
        <f>G43</f>
        <v>S1a1b1d</v>
      </c>
      <c r="M465" s="73" t="s">
        <v>567</v>
      </c>
      <c r="N465" s="35">
        <v>7013028.0</v>
      </c>
      <c r="O465" s="35">
        <v>7144987.0</v>
      </c>
      <c r="P465" s="35" t="s">
        <v>219</v>
      </c>
    </row>
    <row r="466">
      <c r="J466" s="35" t="s">
        <v>568</v>
      </c>
      <c r="K466" t="str">
        <f>G43</f>
        <v>S1a1b1d</v>
      </c>
      <c r="M466" s="73" t="s">
        <v>569</v>
      </c>
      <c r="N466" s="35">
        <v>7084956.0</v>
      </c>
      <c r="O466" s="35">
        <v>7216915.0</v>
      </c>
      <c r="P466" s="35" t="s">
        <v>229</v>
      </c>
    </row>
    <row r="467">
      <c r="J467" s="35" t="s">
        <v>570</v>
      </c>
      <c r="K467" t="str">
        <f>G43</f>
        <v>S1a1b1d</v>
      </c>
      <c r="M467" s="73" t="s">
        <v>571</v>
      </c>
      <c r="N467" s="35">
        <v>7157648.0</v>
      </c>
      <c r="O467" s="35">
        <v>7289607.0</v>
      </c>
      <c r="P467" s="35" t="s">
        <v>232</v>
      </c>
    </row>
    <row r="468">
      <c r="J468" s="35" t="s">
        <v>572</v>
      </c>
      <c r="K468" t="str">
        <f>G43</f>
        <v>S1a1b1d</v>
      </c>
      <c r="M468" s="73" t="s">
        <v>573</v>
      </c>
      <c r="N468" s="35">
        <v>7167702.0</v>
      </c>
      <c r="O468" s="35">
        <v>7299661.0</v>
      </c>
      <c r="P468" s="35" t="s">
        <v>221</v>
      </c>
    </row>
    <row r="469">
      <c r="J469" s="35" t="s">
        <v>574</v>
      </c>
      <c r="K469" t="str">
        <f>G43</f>
        <v>S1a1b1d</v>
      </c>
      <c r="M469" s="73" t="s">
        <v>575</v>
      </c>
      <c r="N469" s="35">
        <v>7189453.0</v>
      </c>
      <c r="O469" s="35">
        <v>7321412.0</v>
      </c>
      <c r="P469" s="35" t="s">
        <v>221</v>
      </c>
    </row>
    <row r="470">
      <c r="J470" s="35" t="s">
        <v>576</v>
      </c>
      <c r="K470" t="str">
        <f>G43</f>
        <v>S1a1b1d</v>
      </c>
      <c r="M470" s="73" t="s">
        <v>577</v>
      </c>
      <c r="N470" s="35">
        <v>7242305.0</v>
      </c>
      <c r="O470" s="35">
        <v>7374264.0</v>
      </c>
      <c r="P470" s="35" t="s">
        <v>229</v>
      </c>
    </row>
    <row r="471">
      <c r="J471" s="35" t="s">
        <v>578</v>
      </c>
      <c r="K471" t="str">
        <f>G43</f>
        <v>S1a1b1d</v>
      </c>
      <c r="M471" s="73" t="s">
        <v>579</v>
      </c>
      <c r="N471" s="35">
        <v>7374669.0</v>
      </c>
      <c r="O471" s="35">
        <v>7506628.0</v>
      </c>
      <c r="P471" s="35" t="s">
        <v>221</v>
      </c>
    </row>
    <row r="472">
      <c r="J472" s="35" t="s">
        <v>580</v>
      </c>
      <c r="K472" t="str">
        <f>G43</f>
        <v>S1a1b1d</v>
      </c>
      <c r="M472" s="73" t="s">
        <v>581</v>
      </c>
      <c r="N472" s="35">
        <v>7589186.0</v>
      </c>
      <c r="O472" s="35">
        <v>7721145.0</v>
      </c>
      <c r="P472" s="35" t="s">
        <v>221</v>
      </c>
    </row>
    <row r="473">
      <c r="J473" s="35" t="s">
        <v>582</v>
      </c>
      <c r="K473" t="str">
        <f>G43</f>
        <v>S1a1b1d</v>
      </c>
      <c r="M473" s="73" t="s">
        <v>583</v>
      </c>
      <c r="N473" s="35">
        <v>7682156.0</v>
      </c>
      <c r="O473" s="35">
        <v>7814115.0</v>
      </c>
      <c r="P473" s="35" t="s">
        <v>229</v>
      </c>
    </row>
    <row r="474">
      <c r="J474" s="35" t="s">
        <v>584</v>
      </c>
      <c r="K474" t="str">
        <f>G43</f>
        <v>S1a1b1d</v>
      </c>
      <c r="M474" s="73" t="s">
        <v>585</v>
      </c>
      <c r="N474" s="35">
        <v>7726975.0</v>
      </c>
      <c r="O474" s="35">
        <v>7858934.0</v>
      </c>
      <c r="P474" s="35" t="s">
        <v>232</v>
      </c>
    </row>
    <row r="475">
      <c r="J475" s="35" t="s">
        <v>586</v>
      </c>
      <c r="K475" t="str">
        <f>G43</f>
        <v>S1a1b1d</v>
      </c>
      <c r="M475" s="73" t="s">
        <v>587</v>
      </c>
      <c r="N475" s="35">
        <v>7829162.0</v>
      </c>
      <c r="O475" s="35">
        <v>7961121.0</v>
      </c>
      <c r="P475" s="35" t="s">
        <v>232</v>
      </c>
    </row>
    <row r="476">
      <c r="J476" s="35" t="s">
        <v>588</v>
      </c>
      <c r="K476" t="str">
        <f>G43</f>
        <v>S1a1b1d</v>
      </c>
      <c r="M476" s="73" t="s">
        <v>589</v>
      </c>
      <c r="N476" s="35">
        <v>7883580.0</v>
      </c>
      <c r="O476" s="35">
        <v>8015539.0</v>
      </c>
      <c r="P476" s="35" t="s">
        <v>219</v>
      </c>
    </row>
    <row r="477">
      <c r="J477" s="35" t="s">
        <v>590</v>
      </c>
      <c r="K477" t="str">
        <f>G43</f>
        <v>S1a1b1d</v>
      </c>
      <c r="M477" s="73" t="s">
        <v>591</v>
      </c>
      <c r="N477" s="35">
        <v>7941614.0</v>
      </c>
      <c r="O477" s="35">
        <v>8073573.0</v>
      </c>
      <c r="P477" s="35" t="s">
        <v>232</v>
      </c>
    </row>
    <row r="478">
      <c r="J478" s="35" t="s">
        <v>592</v>
      </c>
      <c r="K478" t="str">
        <f>G43</f>
        <v>S1a1b1d</v>
      </c>
      <c r="M478" s="73" t="s">
        <v>593</v>
      </c>
      <c r="N478" s="35">
        <v>8155295.0</v>
      </c>
      <c r="O478" s="35">
        <v>8287254.0</v>
      </c>
      <c r="P478" s="35" t="s">
        <v>221</v>
      </c>
    </row>
    <row r="479">
      <c r="J479" s="35" t="s">
        <v>594</v>
      </c>
      <c r="K479" t="str">
        <f>G43</f>
        <v>S1a1b1d</v>
      </c>
      <c r="M479" s="73" t="s">
        <v>595</v>
      </c>
      <c r="N479" s="35">
        <v>8216317.0</v>
      </c>
      <c r="O479" s="35">
        <v>8348276.0</v>
      </c>
      <c r="P479" s="35" t="s">
        <v>219</v>
      </c>
    </row>
    <row r="480">
      <c r="J480" s="35" t="s">
        <v>596</v>
      </c>
      <c r="K480" t="str">
        <f>G43</f>
        <v>S1a1b1d</v>
      </c>
      <c r="M480" s="73" t="s">
        <v>597</v>
      </c>
      <c r="N480" s="35">
        <v>8258015.0</v>
      </c>
      <c r="O480" s="35">
        <v>8389974.0</v>
      </c>
      <c r="P480" s="35" t="s">
        <v>221</v>
      </c>
    </row>
    <row r="481">
      <c r="J481" s="35" t="s">
        <v>598</v>
      </c>
      <c r="K481" t="str">
        <f>G43</f>
        <v>S1a1b1d</v>
      </c>
      <c r="M481" s="73" t="s">
        <v>599</v>
      </c>
      <c r="N481" s="35">
        <v>8399812.0</v>
      </c>
      <c r="O481" s="35">
        <v>8531771.0</v>
      </c>
      <c r="P481" s="35" t="s">
        <v>255</v>
      </c>
    </row>
    <row r="482">
      <c r="J482" s="35" t="s">
        <v>600</v>
      </c>
      <c r="K482" t="str">
        <f>G43</f>
        <v>S1a1b1d</v>
      </c>
      <c r="M482" s="73" t="s">
        <v>601</v>
      </c>
      <c r="N482" s="35">
        <v>8500455.0</v>
      </c>
      <c r="O482" s="35">
        <v>8632414.0</v>
      </c>
      <c r="P482" s="35" t="s">
        <v>216</v>
      </c>
    </row>
    <row r="483">
      <c r="J483" s="35" t="s">
        <v>602</v>
      </c>
      <c r="K483" t="str">
        <f>G43</f>
        <v>S1a1b1d</v>
      </c>
      <c r="M483" s="73" t="s">
        <v>603</v>
      </c>
      <c r="N483" s="35">
        <v>8528108.0</v>
      </c>
      <c r="O483" s="35">
        <v>8660067.0</v>
      </c>
      <c r="P483" s="35" t="s">
        <v>224</v>
      </c>
    </row>
    <row r="484">
      <c r="J484" s="35" t="s">
        <v>604</v>
      </c>
      <c r="K484" t="str">
        <f>G43</f>
        <v>S1a1b1d</v>
      </c>
      <c r="M484" s="73" t="s">
        <v>605</v>
      </c>
      <c r="N484" s="35">
        <v>8530178.0</v>
      </c>
      <c r="O484" s="35">
        <v>8662137.0</v>
      </c>
      <c r="P484" s="35" t="s">
        <v>219</v>
      </c>
    </row>
    <row r="485">
      <c r="J485" s="35" t="s">
        <v>606</v>
      </c>
      <c r="K485" t="str">
        <f>G43</f>
        <v>S1a1b1d</v>
      </c>
      <c r="M485" s="73" t="s">
        <v>607</v>
      </c>
      <c r="N485" s="35">
        <v>8557216.0</v>
      </c>
      <c r="O485" s="35">
        <v>8689175.0</v>
      </c>
      <c r="P485" s="35" t="s">
        <v>216</v>
      </c>
    </row>
    <row r="486">
      <c r="J486" s="35" t="s">
        <v>608</v>
      </c>
      <c r="K486" t="str">
        <f>G43</f>
        <v>S1a1b1d</v>
      </c>
      <c r="M486" s="73" t="s">
        <v>609</v>
      </c>
      <c r="N486" s="35">
        <v>8586043.0</v>
      </c>
      <c r="O486" s="35">
        <v>8718002.0</v>
      </c>
      <c r="P486" s="35" t="s">
        <v>224</v>
      </c>
    </row>
    <row r="487">
      <c r="J487" s="35" t="s">
        <v>610</v>
      </c>
      <c r="K487" t="str">
        <f>G43</f>
        <v>S1a1b1d</v>
      </c>
      <c r="M487" s="73" t="s">
        <v>611</v>
      </c>
      <c r="N487" s="35">
        <v>8696878.0</v>
      </c>
      <c r="O487" s="35">
        <v>8828837.0</v>
      </c>
      <c r="P487" s="35" t="s">
        <v>219</v>
      </c>
    </row>
    <row r="488">
      <c r="J488" s="35" t="s">
        <v>612</v>
      </c>
      <c r="K488" t="str">
        <f>G43</f>
        <v>S1a1b1d</v>
      </c>
      <c r="M488" s="73" t="s">
        <v>613</v>
      </c>
      <c r="N488" s="35">
        <v>8702161.0</v>
      </c>
      <c r="O488" s="35">
        <v>8834120.0</v>
      </c>
      <c r="P488" s="35" t="s">
        <v>219</v>
      </c>
    </row>
    <row r="489">
      <c r="J489" s="35" t="s">
        <v>614</v>
      </c>
      <c r="K489" t="str">
        <f>G43</f>
        <v>S1a1b1d</v>
      </c>
      <c r="M489" s="73" t="s">
        <v>615</v>
      </c>
      <c r="N489" s="35">
        <v>8768806.0</v>
      </c>
      <c r="O489" s="35">
        <v>8900765.0</v>
      </c>
      <c r="P489" s="35" t="s">
        <v>221</v>
      </c>
    </row>
    <row r="490">
      <c r="J490" s="35" t="s">
        <v>616</v>
      </c>
      <c r="K490" t="str">
        <f>G43</f>
        <v>S1a1b1d</v>
      </c>
      <c r="M490" s="73" t="s">
        <v>617</v>
      </c>
      <c r="N490" s="35">
        <v>9066173.0</v>
      </c>
      <c r="O490" s="35">
        <v>9228564.0</v>
      </c>
      <c r="P490" s="35" t="s">
        <v>232</v>
      </c>
    </row>
    <row r="491">
      <c r="J491" s="35" t="s">
        <v>618</v>
      </c>
      <c r="K491" t="str">
        <f>G43</f>
        <v>S1a1b1d</v>
      </c>
      <c r="M491" s="73" t="s">
        <v>619</v>
      </c>
      <c r="N491" s="35">
        <v>9152806.0</v>
      </c>
      <c r="O491" s="35">
        <v>9315197.0</v>
      </c>
      <c r="P491" s="35" t="s">
        <v>232</v>
      </c>
    </row>
    <row r="492">
      <c r="J492" s="35" t="s">
        <v>620</v>
      </c>
      <c r="K492" t="str">
        <f>G43</f>
        <v>S1a1b1d</v>
      </c>
      <c r="M492" s="73" t="s">
        <v>621</v>
      </c>
      <c r="N492" s="35">
        <v>9434961.0</v>
      </c>
      <c r="O492" s="35">
        <v>9597352.0</v>
      </c>
      <c r="P492" s="35" t="s">
        <v>242</v>
      </c>
    </row>
    <row r="493">
      <c r="J493" s="35" t="s">
        <v>622</v>
      </c>
      <c r="K493" t="str">
        <f>G43</f>
        <v>S1a1b1d</v>
      </c>
      <c r="M493" s="73" t="s">
        <v>623</v>
      </c>
      <c r="N493" s="35">
        <v>9445214.0</v>
      </c>
      <c r="O493" s="35">
        <v>9607605.0</v>
      </c>
      <c r="P493" s="35" t="s">
        <v>216</v>
      </c>
    </row>
    <row r="494">
      <c r="J494" s="35" t="s">
        <v>624</v>
      </c>
      <c r="K494" t="str">
        <f>G43</f>
        <v>S1a1b1d</v>
      </c>
      <c r="M494" s="73" t="s">
        <v>625</v>
      </c>
      <c r="N494" s="35">
        <v>9830653.0</v>
      </c>
      <c r="O494" s="35">
        <v>9993044.0</v>
      </c>
      <c r="P494" s="35" t="s">
        <v>221</v>
      </c>
    </row>
    <row r="495">
      <c r="J495" s="35" t="s">
        <v>626</v>
      </c>
      <c r="K495" t="str">
        <f>G43</f>
        <v>S1a1b1d</v>
      </c>
      <c r="M495" s="73" t="s">
        <v>627</v>
      </c>
      <c r="N495" s="35">
        <v>9846062.0</v>
      </c>
      <c r="O495" s="35">
        <v>1.0008453E7</v>
      </c>
      <c r="P495" s="35" t="s">
        <v>255</v>
      </c>
    </row>
    <row r="496">
      <c r="J496" s="35" t="s">
        <v>628</v>
      </c>
      <c r="K496" t="str">
        <f>G43</f>
        <v>S1a1b1d</v>
      </c>
      <c r="M496" s="73" t="s">
        <v>629</v>
      </c>
      <c r="N496" s="35">
        <v>9865485.0</v>
      </c>
      <c r="O496" s="35">
        <v>1.0027876E7</v>
      </c>
      <c r="P496" s="35" t="s">
        <v>221</v>
      </c>
    </row>
    <row r="497">
      <c r="J497" s="35" t="s">
        <v>630</v>
      </c>
      <c r="K497" t="str">
        <f>G43</f>
        <v>S1a1b1d</v>
      </c>
      <c r="M497" s="73" t="s">
        <v>631</v>
      </c>
      <c r="N497" s="35">
        <v>1.3945952E7</v>
      </c>
      <c r="O497" s="35">
        <v>1.1825246E7</v>
      </c>
      <c r="P497" s="35" t="s">
        <v>216</v>
      </c>
    </row>
    <row r="498">
      <c r="J498" s="35" t="s">
        <v>632</v>
      </c>
      <c r="K498" t="str">
        <f>G43</f>
        <v>S1a1b1d</v>
      </c>
      <c r="N498" s="35">
        <v>1.4043756E7</v>
      </c>
      <c r="O498" s="35">
        <v>1.192305E7</v>
      </c>
      <c r="P498" s="35" t="s">
        <v>221</v>
      </c>
    </row>
    <row r="499">
      <c r="J499" s="35" t="s">
        <v>633</v>
      </c>
      <c r="K499" t="str">
        <f>G43</f>
        <v>S1a1b1d</v>
      </c>
      <c r="M499" s="73" t="s">
        <v>634</v>
      </c>
      <c r="N499" s="35">
        <v>1.4045514E7</v>
      </c>
      <c r="O499" s="35">
        <v>1.1924808E7</v>
      </c>
      <c r="P499" s="35" t="s">
        <v>221</v>
      </c>
    </row>
    <row r="500">
      <c r="J500" s="35" t="s">
        <v>635</v>
      </c>
      <c r="K500" t="str">
        <f>G43</f>
        <v>S1a1b1d</v>
      </c>
      <c r="M500" s="73" t="s">
        <v>636</v>
      </c>
      <c r="N500" s="35">
        <v>1.4052332E7</v>
      </c>
      <c r="O500" s="35">
        <v>1.1931626E7</v>
      </c>
      <c r="P500" s="35" t="s">
        <v>221</v>
      </c>
    </row>
    <row r="501">
      <c r="J501" s="35" t="s">
        <v>637</v>
      </c>
      <c r="K501" t="str">
        <f>G43</f>
        <v>S1a1b1d</v>
      </c>
      <c r="M501" s="77" t="s">
        <v>638</v>
      </c>
      <c r="N501" s="35">
        <v>1.4054013E7</v>
      </c>
      <c r="O501" s="35">
        <v>1.1933307E7</v>
      </c>
      <c r="P501" s="35" t="s">
        <v>229</v>
      </c>
    </row>
    <row r="502">
      <c r="J502" s="35" t="s">
        <v>639</v>
      </c>
      <c r="K502" t="str">
        <f>G43</f>
        <v>S1a1b1d</v>
      </c>
      <c r="M502" s="73" t="s">
        <v>640</v>
      </c>
      <c r="N502" s="35">
        <v>1.4143224E7</v>
      </c>
      <c r="O502" s="35">
        <v>1.2022518E7</v>
      </c>
      <c r="P502" s="35" t="s">
        <v>232</v>
      </c>
    </row>
    <row r="503">
      <c r="J503" s="35" t="s">
        <v>641</v>
      </c>
      <c r="K503" t="str">
        <f>G43</f>
        <v>S1a1b1d</v>
      </c>
      <c r="M503" s="73" t="s">
        <v>642</v>
      </c>
      <c r="N503" s="35">
        <v>1.4158008E7</v>
      </c>
      <c r="O503" s="35">
        <v>1.2037302E7</v>
      </c>
      <c r="P503" s="35" t="s">
        <v>232</v>
      </c>
    </row>
    <row r="504">
      <c r="J504" s="35" t="s">
        <v>643</v>
      </c>
      <c r="K504" t="str">
        <f>G43</f>
        <v>S1a1b1d</v>
      </c>
      <c r="M504" s="73" t="s">
        <v>644</v>
      </c>
      <c r="N504" s="35">
        <v>1.4176677E7</v>
      </c>
      <c r="O504" s="35">
        <v>1.2055971E7</v>
      </c>
      <c r="P504" s="35" t="s">
        <v>232</v>
      </c>
    </row>
    <row r="505">
      <c r="J505" s="79" t="s">
        <v>645</v>
      </c>
      <c r="K505" t="str">
        <f>G43</f>
        <v>S1a1b1d</v>
      </c>
      <c r="M505" s="79" t="s">
        <v>646</v>
      </c>
      <c r="N505" s="79">
        <v>1.4783434E7</v>
      </c>
      <c r="O505" s="79">
        <v>1.2671504E7</v>
      </c>
      <c r="P505" s="79" t="s">
        <v>232</v>
      </c>
    </row>
    <row r="506">
      <c r="J506" s="35" t="s">
        <v>647</v>
      </c>
      <c r="K506" t="str">
        <f>G43</f>
        <v>S1a1b1d</v>
      </c>
      <c r="M506" s="73" t="s">
        <v>648</v>
      </c>
      <c r="N506" s="35">
        <v>1.4840622E7</v>
      </c>
      <c r="O506" s="35">
        <v>1.2728689E7</v>
      </c>
      <c r="P506" s="35" t="s">
        <v>219</v>
      </c>
    </row>
    <row r="507">
      <c r="J507" s="35" t="s">
        <v>649</v>
      </c>
      <c r="K507" t="str">
        <f>G43</f>
        <v>S1a1b1d</v>
      </c>
      <c r="M507" s="73" t="s">
        <v>650</v>
      </c>
      <c r="N507" s="35">
        <v>1.4923319E7</v>
      </c>
      <c r="O507" s="35">
        <v>1.2811384E7</v>
      </c>
      <c r="P507" s="35" t="s">
        <v>232</v>
      </c>
    </row>
    <row r="508">
      <c r="J508" s="35" t="s">
        <v>651</v>
      </c>
      <c r="K508" t="str">
        <f>G43</f>
        <v>S1a1b1d</v>
      </c>
      <c r="M508" s="73" t="s">
        <v>652</v>
      </c>
      <c r="N508" s="35">
        <v>1.5135943E7</v>
      </c>
      <c r="O508" s="35">
        <v>1.302403E7</v>
      </c>
      <c r="P508" s="35" t="s">
        <v>229</v>
      </c>
    </row>
    <row r="509">
      <c r="J509" s="35" t="s">
        <v>653</v>
      </c>
      <c r="K509" t="str">
        <f>G43</f>
        <v>S1a1b1d</v>
      </c>
      <c r="M509" s="73" t="s">
        <v>654</v>
      </c>
      <c r="N509" s="35">
        <v>1.5169767E7</v>
      </c>
      <c r="O509" s="35">
        <v>1.3057853E7</v>
      </c>
      <c r="P509" s="35" t="s">
        <v>232</v>
      </c>
    </row>
    <row r="510">
      <c r="J510" s="35" t="s">
        <v>655</v>
      </c>
      <c r="K510" t="str">
        <f>G43</f>
        <v>S1a1b1d</v>
      </c>
      <c r="M510" s="73" t="s">
        <v>656</v>
      </c>
      <c r="N510" s="35">
        <v>1.5188308E7</v>
      </c>
      <c r="O510" s="35">
        <v>1.3076394E7</v>
      </c>
      <c r="P510" s="35" t="s">
        <v>302</v>
      </c>
    </row>
    <row r="511">
      <c r="J511" s="35" t="s">
        <v>657</v>
      </c>
      <c r="K511" t="str">
        <f>G43</f>
        <v>S1a1b1d</v>
      </c>
      <c r="M511" s="73" t="s">
        <v>658</v>
      </c>
      <c r="N511" s="35">
        <v>1.5428032E7</v>
      </c>
      <c r="O511" s="35">
        <v>1.3316152E7</v>
      </c>
      <c r="P511" s="35" t="s">
        <v>216</v>
      </c>
    </row>
    <row r="512">
      <c r="J512" s="35" t="s">
        <v>659</v>
      </c>
      <c r="K512" t="str">
        <f>G43</f>
        <v>S1a1b1d</v>
      </c>
      <c r="M512" s="73" t="s">
        <v>660</v>
      </c>
      <c r="N512" s="35">
        <v>1.5729958E7</v>
      </c>
      <c r="O512" s="35">
        <v>1.3618078E7</v>
      </c>
      <c r="P512" s="35" t="s">
        <v>221</v>
      </c>
    </row>
    <row r="513">
      <c r="J513" s="35" t="s">
        <v>661</v>
      </c>
      <c r="K513" t="str">
        <f>G43</f>
        <v>S1a1b1d</v>
      </c>
      <c r="M513" s="73" t="s">
        <v>662</v>
      </c>
      <c r="N513" s="35">
        <v>1.5891009E7</v>
      </c>
      <c r="O513" s="35">
        <v>1.3779129E7</v>
      </c>
      <c r="P513" s="35" t="s">
        <v>229</v>
      </c>
    </row>
    <row r="514">
      <c r="J514" s="35" t="s">
        <v>663</v>
      </c>
      <c r="K514" t="str">
        <f>G43</f>
        <v>S1a1b1d</v>
      </c>
      <c r="M514" s="73" t="s">
        <v>664</v>
      </c>
      <c r="N514" s="35">
        <v>1.590068E7</v>
      </c>
      <c r="O514" s="35">
        <v>1.37888E7</v>
      </c>
      <c r="P514" s="35" t="s">
        <v>216</v>
      </c>
    </row>
    <row r="515">
      <c r="J515" s="35" t="s">
        <v>665</v>
      </c>
      <c r="K515" t="str">
        <f>G43</f>
        <v>S1a1b1d</v>
      </c>
      <c r="M515" s="73" t="s">
        <v>666</v>
      </c>
      <c r="N515" s="35">
        <v>1.5918398E7</v>
      </c>
      <c r="O515" s="35">
        <v>1.3806518E7</v>
      </c>
      <c r="P515" s="35" t="s">
        <v>232</v>
      </c>
    </row>
    <row r="516">
      <c r="J516" s="35" t="s">
        <v>667</v>
      </c>
      <c r="K516" t="str">
        <f>G43</f>
        <v>S1a1b1d</v>
      </c>
      <c r="M516" s="73" t="s">
        <v>668</v>
      </c>
      <c r="N516" s="35">
        <v>1.5925394E7</v>
      </c>
      <c r="O516" s="35">
        <v>1.3813514E7</v>
      </c>
      <c r="P516" s="35" t="s">
        <v>229</v>
      </c>
    </row>
    <row r="517">
      <c r="J517" s="35" t="s">
        <v>669</v>
      </c>
      <c r="K517" t="str">
        <f>G43</f>
        <v>S1a1b1d</v>
      </c>
      <c r="M517" s="73" t="s">
        <v>670</v>
      </c>
      <c r="N517" s="35">
        <v>1.5963007E7</v>
      </c>
      <c r="O517" s="35">
        <v>1.3851127E7</v>
      </c>
      <c r="P517" s="35" t="s">
        <v>232</v>
      </c>
    </row>
    <row r="518">
      <c r="J518" s="35" t="s">
        <v>671</v>
      </c>
      <c r="K518" t="str">
        <f>G43</f>
        <v>S1a1b1d</v>
      </c>
      <c r="M518" s="73" t="s">
        <v>672</v>
      </c>
      <c r="N518" s="35">
        <v>1.6397871E7</v>
      </c>
      <c r="O518" s="35">
        <v>1.4285991E7</v>
      </c>
      <c r="P518" s="35" t="s">
        <v>216</v>
      </c>
    </row>
    <row r="519">
      <c r="J519" s="35" t="s">
        <v>673</v>
      </c>
      <c r="K519" t="str">
        <f>G43</f>
        <v>S1a1b1d</v>
      </c>
      <c r="M519" s="73" t="s">
        <v>674</v>
      </c>
      <c r="N519" s="35">
        <v>1.6471301E7</v>
      </c>
      <c r="O519" s="35">
        <v>1.4359421E7</v>
      </c>
      <c r="P519" s="35" t="s">
        <v>283</v>
      </c>
    </row>
    <row r="520">
      <c r="J520" s="35" t="s">
        <v>675</v>
      </c>
      <c r="K520" t="str">
        <f>G43</f>
        <v>S1a1b1d</v>
      </c>
      <c r="M520" s="73" t="s">
        <v>676</v>
      </c>
      <c r="N520" s="35">
        <v>1.6586768E7</v>
      </c>
      <c r="O520" s="35">
        <v>1.4474888E7</v>
      </c>
      <c r="P520" s="35" t="s">
        <v>219</v>
      </c>
    </row>
    <row r="521">
      <c r="J521" s="35" t="s">
        <v>677</v>
      </c>
      <c r="K521" t="str">
        <f>G43</f>
        <v>S1a1b1d</v>
      </c>
      <c r="M521" s="73" t="s">
        <v>678</v>
      </c>
      <c r="N521" s="35">
        <v>1.6611686E7</v>
      </c>
      <c r="O521" s="35">
        <v>1.4499806E7</v>
      </c>
      <c r="P521" s="35" t="s">
        <v>219</v>
      </c>
    </row>
    <row r="522">
      <c r="J522" s="35" t="s">
        <v>679</v>
      </c>
      <c r="K522" t="str">
        <f>G43</f>
        <v>S1a1b1d</v>
      </c>
      <c r="M522" s="73" t="s">
        <v>680</v>
      </c>
      <c r="N522" s="35">
        <v>1.6620434E7</v>
      </c>
      <c r="O522" s="35">
        <v>1.4508554E7</v>
      </c>
      <c r="P522" s="35" t="s">
        <v>255</v>
      </c>
    </row>
    <row r="523">
      <c r="J523" s="35" t="s">
        <v>681</v>
      </c>
      <c r="K523" t="str">
        <f>G43</f>
        <v>S1a1b1d</v>
      </c>
      <c r="M523" s="73" t="s">
        <v>682</v>
      </c>
      <c r="N523" s="35">
        <v>1.6705969E7</v>
      </c>
      <c r="O523" s="35">
        <v>1.4594089E7</v>
      </c>
      <c r="P523" s="35" t="s">
        <v>232</v>
      </c>
    </row>
    <row r="524">
      <c r="J524" s="35" t="s">
        <v>683</v>
      </c>
      <c r="K524" t="str">
        <f>G43</f>
        <v>S1a1b1d</v>
      </c>
      <c r="M524" s="73" t="s">
        <v>684</v>
      </c>
      <c r="N524" s="35">
        <v>1.6760613E7</v>
      </c>
      <c r="O524" s="35">
        <v>1.4648733E7</v>
      </c>
      <c r="P524" s="35" t="s">
        <v>242</v>
      </c>
    </row>
    <row r="525">
      <c r="J525" s="35" t="s">
        <v>685</v>
      </c>
      <c r="K525" t="str">
        <f>G43</f>
        <v>S1a1b1d</v>
      </c>
      <c r="M525" s="73" t="s">
        <v>686</v>
      </c>
      <c r="N525" s="35">
        <v>1.6829137E7</v>
      </c>
      <c r="O525" s="35">
        <v>1.4717257E7</v>
      </c>
      <c r="P525" s="35" t="s">
        <v>242</v>
      </c>
    </row>
    <row r="526">
      <c r="J526" s="35" t="s">
        <v>687</v>
      </c>
      <c r="K526" t="str">
        <f>G43</f>
        <v>S1a1b1d</v>
      </c>
      <c r="M526" s="73" t="s">
        <v>688</v>
      </c>
      <c r="N526" s="35">
        <v>1.6842039E7</v>
      </c>
      <c r="O526" s="35">
        <v>1.4730159E7</v>
      </c>
      <c r="P526" s="35" t="s">
        <v>221</v>
      </c>
    </row>
    <row r="527">
      <c r="J527" s="35" t="s">
        <v>689</v>
      </c>
      <c r="K527" t="str">
        <f>G43</f>
        <v>S1a1b1d</v>
      </c>
      <c r="M527" s="73" t="s">
        <v>690</v>
      </c>
      <c r="N527" s="35">
        <v>1.707376E7</v>
      </c>
      <c r="O527" s="35">
        <v>1.496188E7</v>
      </c>
      <c r="P527" s="35" t="s">
        <v>229</v>
      </c>
    </row>
    <row r="528">
      <c r="J528" s="35" t="s">
        <v>691</v>
      </c>
      <c r="K528" t="str">
        <f>G43</f>
        <v>S1a1b1d</v>
      </c>
      <c r="M528" s="73" t="s">
        <v>692</v>
      </c>
      <c r="N528" s="35">
        <v>1.7074457E7</v>
      </c>
      <c r="O528" s="35">
        <v>1.4962577E7</v>
      </c>
      <c r="P528" s="35" t="s">
        <v>283</v>
      </c>
    </row>
    <row r="529">
      <c r="J529" s="35" t="s">
        <v>693</v>
      </c>
      <c r="K529" t="str">
        <f>G43</f>
        <v>S1a1b1d</v>
      </c>
      <c r="M529" s="73" t="s">
        <v>694</v>
      </c>
      <c r="N529" s="35">
        <v>1.7090279E7</v>
      </c>
      <c r="O529" s="35">
        <v>1.4978399E7</v>
      </c>
      <c r="P529" s="35" t="s">
        <v>221</v>
      </c>
    </row>
    <row r="530">
      <c r="J530" s="35" t="s">
        <v>695</v>
      </c>
      <c r="K530" t="str">
        <f>G43</f>
        <v>S1a1b1d</v>
      </c>
      <c r="M530" s="73" t="s">
        <v>696</v>
      </c>
      <c r="N530" s="35">
        <v>1.7210104E7</v>
      </c>
      <c r="O530" s="35">
        <v>1.5098224E7</v>
      </c>
      <c r="P530" s="35" t="s">
        <v>221</v>
      </c>
    </row>
    <row r="531">
      <c r="J531" s="35" t="s">
        <v>697</v>
      </c>
      <c r="K531" t="str">
        <f>G43</f>
        <v>S1a1b1d</v>
      </c>
      <c r="M531" s="73" t="s">
        <v>698</v>
      </c>
      <c r="N531" s="35">
        <v>1.7230845E7</v>
      </c>
      <c r="O531" s="35">
        <v>1.5118965E7</v>
      </c>
      <c r="P531" s="35" t="s">
        <v>216</v>
      </c>
    </row>
    <row r="532">
      <c r="J532" s="35" t="s">
        <v>699</v>
      </c>
      <c r="K532" t="str">
        <f>G43</f>
        <v>S1a1b1d</v>
      </c>
      <c r="M532" s="73" t="s">
        <v>700</v>
      </c>
      <c r="N532" s="35">
        <v>1.7270069E7</v>
      </c>
      <c r="O532" s="35">
        <v>1.5158189E7</v>
      </c>
      <c r="P532" s="35" t="s">
        <v>219</v>
      </c>
    </row>
    <row r="533">
      <c r="J533" s="35" t="s">
        <v>701</v>
      </c>
      <c r="K533" t="str">
        <f>G43</f>
        <v>S1a1b1d</v>
      </c>
      <c r="M533" s="73" t="s">
        <v>702</v>
      </c>
      <c r="N533" s="35">
        <v>1.7271301E7</v>
      </c>
      <c r="O533" s="35">
        <v>1.5159421E7</v>
      </c>
      <c r="P533" s="35" t="s">
        <v>216</v>
      </c>
    </row>
    <row r="534">
      <c r="J534" s="35" t="s">
        <v>703</v>
      </c>
      <c r="K534" t="str">
        <f>G43</f>
        <v>S1a1b1d</v>
      </c>
      <c r="M534" s="73" t="s">
        <v>704</v>
      </c>
      <c r="N534" s="35">
        <v>1.7331407E7</v>
      </c>
      <c r="O534" s="35">
        <v>1.5219527E7</v>
      </c>
      <c r="P534" s="35" t="s">
        <v>232</v>
      </c>
    </row>
    <row r="535">
      <c r="J535" s="35" t="s">
        <v>705</v>
      </c>
      <c r="K535" t="str">
        <f>G43</f>
        <v>S1a1b1d</v>
      </c>
      <c r="M535" s="73" t="s">
        <v>706</v>
      </c>
      <c r="N535" s="35">
        <v>1.7333165E7</v>
      </c>
      <c r="O535" s="35">
        <v>1.5221285E7</v>
      </c>
      <c r="P535" s="35" t="s">
        <v>221</v>
      </c>
    </row>
    <row r="536">
      <c r="J536" s="35" t="s">
        <v>707</v>
      </c>
      <c r="K536" t="str">
        <f>G43</f>
        <v>S1a1b1d</v>
      </c>
      <c r="M536" s="73" t="s">
        <v>708</v>
      </c>
      <c r="N536" s="35">
        <v>1.733723E7</v>
      </c>
      <c r="O536" s="35">
        <v>1.522535E7</v>
      </c>
      <c r="P536" s="35" t="s">
        <v>229</v>
      </c>
    </row>
    <row r="537">
      <c r="J537" s="35" t="s">
        <v>709</v>
      </c>
      <c r="K537" t="str">
        <f>G43</f>
        <v>S1a1b1d</v>
      </c>
      <c r="M537" s="73" t="s">
        <v>710</v>
      </c>
      <c r="N537" s="35">
        <v>1.7395974E7</v>
      </c>
      <c r="O537" s="35">
        <v>1.5284094E7</v>
      </c>
      <c r="P537" s="35" t="s">
        <v>232</v>
      </c>
    </row>
    <row r="538">
      <c r="J538" s="35" t="s">
        <v>711</v>
      </c>
      <c r="K538" t="str">
        <f>G43</f>
        <v>S1a1b1d</v>
      </c>
      <c r="M538" s="73" t="s">
        <v>712</v>
      </c>
      <c r="N538" s="35">
        <v>1.7436878E7</v>
      </c>
      <c r="O538" s="35">
        <v>1.5324998E7</v>
      </c>
      <c r="P538" s="35" t="s">
        <v>232</v>
      </c>
    </row>
    <row r="539">
      <c r="J539" s="35" t="s">
        <v>713</v>
      </c>
      <c r="K539" t="str">
        <f>G43</f>
        <v>S1a1b1d</v>
      </c>
      <c r="M539" s="73" t="s">
        <v>714</v>
      </c>
      <c r="N539" s="35">
        <v>1.7443892E7</v>
      </c>
      <c r="O539" s="35">
        <v>1.5332012E7</v>
      </c>
      <c r="P539" s="35" t="s">
        <v>242</v>
      </c>
    </row>
    <row r="540">
      <c r="J540" s="35" t="s">
        <v>715</v>
      </c>
      <c r="K540" t="str">
        <f>G43</f>
        <v>S1a1b1d</v>
      </c>
      <c r="M540" s="73" t="s">
        <v>716</v>
      </c>
      <c r="N540" s="35">
        <v>1.7538152E7</v>
      </c>
      <c r="O540" s="35">
        <v>1.5426272E7</v>
      </c>
      <c r="P540" s="35" t="s">
        <v>219</v>
      </c>
    </row>
    <row r="541">
      <c r="J541" s="35" t="s">
        <v>717</v>
      </c>
      <c r="K541" t="str">
        <f>G43</f>
        <v>S1a1b1d</v>
      </c>
      <c r="M541" s="73" t="s">
        <v>718</v>
      </c>
      <c r="N541" s="35">
        <v>1.7730733E7</v>
      </c>
      <c r="O541" s="35">
        <v>1.5618853E7</v>
      </c>
      <c r="P541" s="35" t="s">
        <v>221</v>
      </c>
    </row>
    <row r="542">
      <c r="J542" s="35" t="s">
        <v>719</v>
      </c>
      <c r="K542" t="str">
        <f>G43</f>
        <v>S1a1b1d</v>
      </c>
      <c r="M542" s="73" t="s">
        <v>720</v>
      </c>
      <c r="N542" s="35">
        <v>1.7741885E7</v>
      </c>
      <c r="O542" s="35">
        <v>1.5630005E7</v>
      </c>
      <c r="P542" s="35" t="s">
        <v>219</v>
      </c>
    </row>
    <row r="543">
      <c r="J543" s="35" t="s">
        <v>721</v>
      </c>
      <c r="K543" t="str">
        <f>G43</f>
        <v>S1a1b1d</v>
      </c>
      <c r="M543" s="73" t="s">
        <v>722</v>
      </c>
      <c r="N543" s="35">
        <v>1.777871E7</v>
      </c>
      <c r="O543" s="35">
        <v>1.566683E7</v>
      </c>
      <c r="P543" s="35" t="s">
        <v>219</v>
      </c>
    </row>
    <row r="544">
      <c r="J544" s="35" t="s">
        <v>723</v>
      </c>
      <c r="K544" t="str">
        <f>G43</f>
        <v>S1a1b1d</v>
      </c>
      <c r="M544" s="73" t="s">
        <v>724</v>
      </c>
      <c r="N544" s="35">
        <v>1.7781842E7</v>
      </c>
      <c r="O544" s="35">
        <v>1.5669962E7</v>
      </c>
      <c r="P544" s="35" t="s">
        <v>232</v>
      </c>
    </row>
    <row r="545">
      <c r="J545" s="35" t="s">
        <v>725</v>
      </c>
      <c r="K545" t="str">
        <f>G43</f>
        <v>S1a1b1d</v>
      </c>
      <c r="M545" s="73" t="s">
        <v>726</v>
      </c>
      <c r="N545" s="35">
        <v>1.7810865E7</v>
      </c>
      <c r="O545" s="35">
        <v>1.5698985E7</v>
      </c>
      <c r="P545" s="35" t="s">
        <v>221</v>
      </c>
    </row>
    <row r="546">
      <c r="J546" s="35" t="s">
        <v>727</v>
      </c>
      <c r="K546" t="str">
        <f>G43</f>
        <v>S1a1b1d</v>
      </c>
      <c r="M546" s="73" t="s">
        <v>728</v>
      </c>
      <c r="N546" s="35">
        <v>1.782276E7</v>
      </c>
      <c r="O546" s="35">
        <v>1.571088E7</v>
      </c>
      <c r="P546" s="35" t="s">
        <v>232</v>
      </c>
    </row>
    <row r="547">
      <c r="J547" s="35" t="s">
        <v>729</v>
      </c>
      <c r="K547" t="str">
        <f>G43</f>
        <v>S1a1b1d</v>
      </c>
      <c r="M547" s="73" t="s">
        <v>730</v>
      </c>
      <c r="N547" s="35">
        <v>1.7936635E7</v>
      </c>
      <c r="O547" s="35">
        <v>1.5824755E7</v>
      </c>
      <c r="P547" s="35" t="s">
        <v>219</v>
      </c>
    </row>
    <row r="548">
      <c r="J548" s="35" t="s">
        <v>731</v>
      </c>
      <c r="K548" t="str">
        <f>G43</f>
        <v>S1a1b1d</v>
      </c>
      <c r="M548" s="73" t="s">
        <v>732</v>
      </c>
      <c r="N548" s="35">
        <v>1.794448E7</v>
      </c>
      <c r="O548" s="35">
        <v>1.58326E7</v>
      </c>
      <c r="P548" s="35" t="s">
        <v>232</v>
      </c>
    </row>
    <row r="549">
      <c r="J549" s="35" t="s">
        <v>733</v>
      </c>
      <c r="K549" t="str">
        <f>G43</f>
        <v>S1a1b1d</v>
      </c>
      <c r="M549" s="77" t="s">
        <v>734</v>
      </c>
      <c r="N549" s="35">
        <v>1.7970532E7</v>
      </c>
      <c r="O549" s="35">
        <v>1.5858652E7</v>
      </c>
      <c r="P549" s="35" t="s">
        <v>219</v>
      </c>
    </row>
    <row r="550">
      <c r="J550" s="35" t="s">
        <v>735</v>
      </c>
      <c r="K550" t="str">
        <f>G43</f>
        <v>S1a1b1d</v>
      </c>
      <c r="M550" s="73" t="s">
        <v>736</v>
      </c>
      <c r="N550" s="35">
        <v>1.8661555E7</v>
      </c>
      <c r="O550" s="35">
        <v>1.6549675E7</v>
      </c>
      <c r="P550" s="35" t="s">
        <v>221</v>
      </c>
    </row>
    <row r="551">
      <c r="J551" s="35" t="s">
        <v>737</v>
      </c>
      <c r="K551" t="str">
        <f>G43</f>
        <v>S1a1b1d</v>
      </c>
      <c r="M551" s="73" t="s">
        <v>738</v>
      </c>
      <c r="N551" s="35">
        <v>1.866299E7</v>
      </c>
      <c r="O551" s="35">
        <v>1.655111E7</v>
      </c>
      <c r="P551" s="35" t="s">
        <v>221</v>
      </c>
    </row>
    <row r="552">
      <c r="J552" s="35" t="s">
        <v>739</v>
      </c>
      <c r="K552" t="str">
        <f>G43</f>
        <v>S1a1b1d</v>
      </c>
      <c r="M552" s="73" t="s">
        <v>740</v>
      </c>
      <c r="N552" s="35">
        <v>1.8807383E7</v>
      </c>
      <c r="O552" s="35">
        <v>1.6695503E7</v>
      </c>
      <c r="P552" s="35" t="s">
        <v>219</v>
      </c>
    </row>
    <row r="553">
      <c r="J553" s="35" t="s">
        <v>741</v>
      </c>
      <c r="K553" t="str">
        <f>G43</f>
        <v>S1a1b1d</v>
      </c>
      <c r="M553" s="73" t="s">
        <v>742</v>
      </c>
      <c r="N553" s="35">
        <v>1.8824094E7</v>
      </c>
      <c r="O553" s="35">
        <v>1.6712214E7</v>
      </c>
      <c r="P553" s="35" t="s">
        <v>232</v>
      </c>
    </row>
    <row r="554">
      <c r="J554" s="35" t="s">
        <v>743</v>
      </c>
      <c r="K554" t="str">
        <f>G43</f>
        <v>S1a1b1d</v>
      </c>
      <c r="M554" s="73" t="s">
        <v>744</v>
      </c>
      <c r="N554" s="35">
        <v>1.8992988E7</v>
      </c>
      <c r="O554" s="35">
        <v>1.6881108E7</v>
      </c>
      <c r="P554" s="35" t="s">
        <v>255</v>
      </c>
    </row>
    <row r="555">
      <c r="J555" s="35" t="s">
        <v>745</v>
      </c>
      <c r="K555" t="str">
        <f>G43</f>
        <v>S1a1b1d</v>
      </c>
      <c r="M555" s="73" t="s">
        <v>746</v>
      </c>
      <c r="N555" s="35">
        <v>1.9011784E7</v>
      </c>
      <c r="O555" s="35">
        <v>1.6899904E7</v>
      </c>
      <c r="P555" s="35" t="s">
        <v>216</v>
      </c>
    </row>
    <row r="556">
      <c r="J556" s="35" t="s">
        <v>747</v>
      </c>
      <c r="K556" t="str">
        <f>G43</f>
        <v>S1a1b1d</v>
      </c>
      <c r="M556" s="73" t="s">
        <v>748</v>
      </c>
      <c r="N556" s="35">
        <v>1.9110092E7</v>
      </c>
      <c r="O556" s="35">
        <v>1.6998212E7</v>
      </c>
      <c r="P556" s="35" t="s">
        <v>255</v>
      </c>
    </row>
    <row r="557">
      <c r="J557" s="35" t="s">
        <v>749</v>
      </c>
      <c r="K557" t="str">
        <f>G43</f>
        <v>S1a1b1d</v>
      </c>
      <c r="M557" s="73" t="s">
        <v>750</v>
      </c>
      <c r="N557" s="35">
        <v>1.9242487E7</v>
      </c>
      <c r="O557" s="35">
        <v>1.7130607E7</v>
      </c>
      <c r="P557" s="35" t="s">
        <v>232</v>
      </c>
    </row>
    <row r="558">
      <c r="J558" s="35" t="s">
        <v>751</v>
      </c>
      <c r="K558" t="str">
        <f>G43</f>
        <v>S1a1b1d</v>
      </c>
      <c r="N558" s="35">
        <v>1.9260449E7</v>
      </c>
      <c r="O558" s="35">
        <v>1.7148569E7</v>
      </c>
      <c r="P558" s="35" t="s">
        <v>255</v>
      </c>
    </row>
    <row r="559">
      <c r="J559" s="35" t="s">
        <v>752</v>
      </c>
      <c r="K559" t="str">
        <f>G43</f>
        <v>S1a1b1d</v>
      </c>
      <c r="M559" s="73" t="s">
        <v>753</v>
      </c>
      <c r="N559" s="35">
        <v>1.9332703E7</v>
      </c>
      <c r="O559" s="35">
        <v>1.7220823E7</v>
      </c>
      <c r="P559" s="35" t="s">
        <v>221</v>
      </c>
    </row>
    <row r="560">
      <c r="J560" s="35" t="s">
        <v>754</v>
      </c>
      <c r="K560" t="str">
        <f>G43</f>
        <v>S1a1b1d</v>
      </c>
      <c r="M560" s="73" t="s">
        <v>755</v>
      </c>
      <c r="N560" s="35">
        <v>1.9346233E7</v>
      </c>
      <c r="O560" s="35">
        <v>1.7234353E7</v>
      </c>
      <c r="P560" s="35" t="s">
        <v>242</v>
      </c>
    </row>
    <row r="561">
      <c r="J561" s="35" t="s">
        <v>756</v>
      </c>
      <c r="K561" t="str">
        <f>G43</f>
        <v>S1a1b1d</v>
      </c>
      <c r="M561" s="73" t="s">
        <v>757</v>
      </c>
      <c r="N561" s="35">
        <v>1.9476636E7</v>
      </c>
      <c r="O561" s="35">
        <v>1.7364756E7</v>
      </c>
      <c r="P561" s="35" t="s">
        <v>221</v>
      </c>
    </row>
    <row r="562">
      <c r="J562" s="35" t="s">
        <v>758</v>
      </c>
      <c r="K562" t="str">
        <f>G43</f>
        <v>S1a1b1d</v>
      </c>
      <c r="M562" s="73" t="s">
        <v>759</v>
      </c>
      <c r="N562" s="35">
        <v>1.9482096E7</v>
      </c>
      <c r="O562" s="35">
        <v>1.7370216E7</v>
      </c>
      <c r="P562" s="35" t="s">
        <v>221</v>
      </c>
    </row>
    <row r="563">
      <c r="J563" s="35" t="s">
        <v>760</v>
      </c>
      <c r="K563" t="str">
        <f>G43</f>
        <v>S1a1b1d</v>
      </c>
      <c r="M563" s="73" t="s">
        <v>761</v>
      </c>
      <c r="N563" s="35">
        <v>1.9544863E7</v>
      </c>
      <c r="O563" s="35">
        <v>1.7432983E7</v>
      </c>
      <c r="P563" s="35" t="s">
        <v>242</v>
      </c>
    </row>
    <row r="564">
      <c r="J564" s="35" t="s">
        <v>762</v>
      </c>
      <c r="K564" t="str">
        <f>G43</f>
        <v>S1a1b1d</v>
      </c>
      <c r="M564" s="73" t="s">
        <v>763</v>
      </c>
      <c r="N564" s="35">
        <v>2.1049546E7</v>
      </c>
      <c r="O564" s="35">
        <v>1.888766E7</v>
      </c>
      <c r="P564" s="35" t="s">
        <v>221</v>
      </c>
    </row>
    <row r="565">
      <c r="J565" s="35" t="s">
        <v>764</v>
      </c>
      <c r="K565" t="str">
        <f>G43</f>
        <v>S1a1b1d</v>
      </c>
      <c r="M565" s="73" t="s">
        <v>765</v>
      </c>
      <c r="N565" s="35">
        <v>2.1309509E7</v>
      </c>
      <c r="O565" s="35">
        <v>1.9147623E7</v>
      </c>
      <c r="P565" s="35" t="s">
        <v>232</v>
      </c>
    </row>
    <row r="566">
      <c r="J566" s="35" t="s">
        <v>766</v>
      </c>
      <c r="K566" t="str">
        <f>G43</f>
        <v>S1a1b1d</v>
      </c>
      <c r="M566" s="73" t="s">
        <v>767</v>
      </c>
      <c r="N566" s="35">
        <v>2.1337097E7</v>
      </c>
      <c r="O566" s="35">
        <v>1.9175211E7</v>
      </c>
      <c r="P566" s="35" t="s">
        <v>221</v>
      </c>
    </row>
    <row r="567">
      <c r="J567" s="35" t="s">
        <v>768</v>
      </c>
      <c r="K567" t="str">
        <f>G43</f>
        <v>S1a1b1d</v>
      </c>
      <c r="M567" s="73" t="s">
        <v>769</v>
      </c>
      <c r="N567" s="35">
        <v>2.1361906E7</v>
      </c>
      <c r="O567" s="35">
        <v>1.920002E7</v>
      </c>
      <c r="P567" s="35" t="s">
        <v>242</v>
      </c>
    </row>
    <row r="568">
      <c r="J568" s="35" t="s">
        <v>770</v>
      </c>
      <c r="K568" t="str">
        <f>G43</f>
        <v>S1a1b1d</v>
      </c>
      <c r="M568" s="73" t="s">
        <v>771</v>
      </c>
      <c r="N568" s="35">
        <v>2.1380231E7</v>
      </c>
      <c r="O568" s="35">
        <v>1.9218345E7</v>
      </c>
      <c r="P568" s="35" t="s">
        <v>216</v>
      </c>
    </row>
    <row r="569">
      <c r="J569" s="35" t="s">
        <v>772</v>
      </c>
      <c r="K569" t="str">
        <f>G43</f>
        <v>S1a1b1d</v>
      </c>
      <c r="M569" s="73" t="s">
        <v>773</v>
      </c>
      <c r="N569" s="35">
        <v>2.1461091E7</v>
      </c>
      <c r="O569" s="35">
        <v>1.9299205E7</v>
      </c>
      <c r="P569" s="35" t="s">
        <v>232</v>
      </c>
    </row>
    <row r="570">
      <c r="J570" s="35" t="s">
        <v>774</v>
      </c>
      <c r="K570" t="str">
        <f>G43</f>
        <v>S1a1b1d</v>
      </c>
      <c r="M570" s="73" t="s">
        <v>775</v>
      </c>
      <c r="N570" s="35">
        <v>2.1489228E7</v>
      </c>
      <c r="O570" s="35">
        <v>1.9327342E7</v>
      </c>
      <c r="P570" s="35" t="s">
        <v>219</v>
      </c>
    </row>
    <row r="571">
      <c r="J571" s="35" t="s">
        <v>776</v>
      </c>
      <c r="K571" t="str">
        <f>G43</f>
        <v>S1a1b1d</v>
      </c>
      <c r="M571" s="73" t="s">
        <v>777</v>
      </c>
      <c r="N571" s="35">
        <v>2.151242E7</v>
      </c>
      <c r="O571" s="35">
        <v>1.9350534E7</v>
      </c>
      <c r="P571" s="35" t="s">
        <v>283</v>
      </c>
    </row>
    <row r="572">
      <c r="J572" s="35" t="s">
        <v>778</v>
      </c>
      <c r="K572" t="str">
        <f>G43</f>
        <v>S1a1b1d</v>
      </c>
      <c r="M572" s="73" t="s">
        <v>779</v>
      </c>
      <c r="N572" s="35">
        <v>2.1572049E7</v>
      </c>
      <c r="O572" s="35">
        <v>1.9410163E7</v>
      </c>
      <c r="P572" s="35" t="s">
        <v>283</v>
      </c>
    </row>
    <row r="573">
      <c r="J573" s="35" t="s">
        <v>780</v>
      </c>
      <c r="K573" t="str">
        <f>G43</f>
        <v>S1a1b1d</v>
      </c>
      <c r="M573" s="73" t="s">
        <v>781</v>
      </c>
      <c r="N573" s="35">
        <v>2.1583368E7</v>
      </c>
      <c r="O573" s="35">
        <v>1.9421482E7</v>
      </c>
      <c r="P573" s="35" t="s">
        <v>221</v>
      </c>
    </row>
    <row r="574">
      <c r="J574" s="35" t="s">
        <v>782</v>
      </c>
      <c r="K574" t="str">
        <f>G43</f>
        <v>S1a1b1d</v>
      </c>
      <c r="M574" s="73" t="s">
        <v>783</v>
      </c>
      <c r="N574" s="35">
        <v>2.1589334E7</v>
      </c>
      <c r="O574" s="35">
        <v>1.9427448E7</v>
      </c>
      <c r="P574" s="35" t="s">
        <v>221</v>
      </c>
    </row>
    <row r="575">
      <c r="J575" s="35" t="s">
        <v>784</v>
      </c>
      <c r="K575" t="str">
        <f>G43</f>
        <v>S1a1b1d</v>
      </c>
      <c r="M575" s="73" t="s">
        <v>785</v>
      </c>
      <c r="N575" s="35">
        <v>2.1708852E7</v>
      </c>
      <c r="O575" s="35">
        <v>1.9546966E7</v>
      </c>
      <c r="P575" s="35" t="s">
        <v>232</v>
      </c>
    </row>
    <row r="576">
      <c r="J576" s="35" t="s">
        <v>786</v>
      </c>
      <c r="K576" t="str">
        <f>G43</f>
        <v>S1a1b1d</v>
      </c>
      <c r="M576" s="73" t="s">
        <v>787</v>
      </c>
      <c r="N576" s="35">
        <v>2.1794578E7</v>
      </c>
      <c r="O576" s="35">
        <v>1.9632692E7</v>
      </c>
      <c r="P576" s="35" t="s">
        <v>221</v>
      </c>
    </row>
    <row r="577">
      <c r="J577" s="35" t="s">
        <v>788</v>
      </c>
      <c r="K577" t="str">
        <f>G43</f>
        <v>S1a1b1d</v>
      </c>
      <c r="M577" s="73" t="s">
        <v>789</v>
      </c>
      <c r="N577" s="35">
        <v>2.184697E7</v>
      </c>
      <c r="O577" s="35">
        <v>1.9685084E7</v>
      </c>
      <c r="P577" s="35" t="s">
        <v>221</v>
      </c>
    </row>
    <row r="578">
      <c r="J578" s="35" t="s">
        <v>790</v>
      </c>
      <c r="K578" t="str">
        <f>G43</f>
        <v>S1a1b1d</v>
      </c>
      <c r="N578" s="35">
        <v>2.1959047E7</v>
      </c>
      <c r="O578" s="35">
        <v>1.9797161E7</v>
      </c>
      <c r="P578" s="35" t="s">
        <v>302</v>
      </c>
    </row>
    <row r="579">
      <c r="J579" s="35" t="s">
        <v>791</v>
      </c>
      <c r="K579" t="str">
        <f>G43</f>
        <v>S1a1b1d</v>
      </c>
      <c r="M579" s="73" t="s">
        <v>792</v>
      </c>
      <c r="N579" s="35">
        <v>2.2012746E7</v>
      </c>
      <c r="O579" s="35">
        <v>1.985086E7</v>
      </c>
      <c r="P579" s="35" t="s">
        <v>216</v>
      </c>
    </row>
    <row r="580">
      <c r="J580" s="35" t="s">
        <v>793</v>
      </c>
      <c r="K580" t="str">
        <f>G43</f>
        <v>S1a1b1d</v>
      </c>
      <c r="M580" s="73" t="s">
        <v>794</v>
      </c>
      <c r="N580" s="35">
        <v>2.2043981E7</v>
      </c>
      <c r="O580" s="35">
        <v>1.9882095E7</v>
      </c>
      <c r="P580" s="35" t="s">
        <v>232</v>
      </c>
    </row>
    <row r="581">
      <c r="J581" s="35" t="s">
        <v>795</v>
      </c>
      <c r="K581" t="str">
        <f>G43</f>
        <v>S1a1b1d</v>
      </c>
      <c r="M581" s="73" t="s">
        <v>796</v>
      </c>
      <c r="N581" s="35">
        <v>2.2115053E7</v>
      </c>
      <c r="O581" s="35">
        <v>1.9953167E7</v>
      </c>
      <c r="P581" s="35" t="s">
        <v>221</v>
      </c>
    </row>
    <row r="582">
      <c r="J582" s="35" t="s">
        <v>797</v>
      </c>
      <c r="K582" t="str">
        <f>G43</f>
        <v>S1a1b1d</v>
      </c>
      <c r="M582" s="73" t="s">
        <v>798</v>
      </c>
      <c r="N582" s="35">
        <v>2.2181006E7</v>
      </c>
      <c r="O582" s="35">
        <v>2.001912E7</v>
      </c>
      <c r="P582" s="35" t="s">
        <v>232</v>
      </c>
    </row>
    <row r="583">
      <c r="J583" s="35" t="s">
        <v>799</v>
      </c>
      <c r="K583" t="str">
        <f>G43</f>
        <v>S1a1b1d</v>
      </c>
      <c r="M583" s="73" t="s">
        <v>800</v>
      </c>
      <c r="N583" s="35">
        <v>2.2602719E7</v>
      </c>
      <c r="O583" s="35">
        <v>2.0440833E7</v>
      </c>
      <c r="P583" s="35" t="s">
        <v>221</v>
      </c>
    </row>
    <row r="584">
      <c r="J584" s="35" t="s">
        <v>801</v>
      </c>
      <c r="K584" t="str">
        <f>G43</f>
        <v>S1a1b1d</v>
      </c>
      <c r="M584" s="73" t="s">
        <v>802</v>
      </c>
      <c r="N584" s="35">
        <v>2.2624936E7</v>
      </c>
      <c r="O584" s="35">
        <v>2.046305E7</v>
      </c>
      <c r="P584" s="35" t="s">
        <v>216</v>
      </c>
    </row>
    <row r="585">
      <c r="J585" s="35" t="s">
        <v>803</v>
      </c>
      <c r="K585" t="str">
        <f>G43</f>
        <v>S1a1b1d</v>
      </c>
      <c r="M585" s="73" t="s">
        <v>804</v>
      </c>
      <c r="N585" s="35">
        <v>2.296279E7</v>
      </c>
      <c r="O585" s="35">
        <v>2.0800904E7</v>
      </c>
      <c r="P585" s="35" t="s">
        <v>224</v>
      </c>
    </row>
    <row r="586">
      <c r="J586" s="35" t="s">
        <v>805</v>
      </c>
      <c r="K586" t="str">
        <f>G43</f>
        <v>S1a1b1d</v>
      </c>
      <c r="M586" s="73" t="s">
        <v>806</v>
      </c>
      <c r="N586" s="35">
        <v>2.3029284E7</v>
      </c>
      <c r="O586" s="35">
        <v>2.0867398E7</v>
      </c>
      <c r="P586" s="35" t="s">
        <v>232</v>
      </c>
    </row>
    <row r="587">
      <c r="J587" s="35" t="s">
        <v>807</v>
      </c>
      <c r="K587" t="str">
        <f>G43</f>
        <v>S1a1b1d</v>
      </c>
      <c r="M587" s="73" t="s">
        <v>808</v>
      </c>
      <c r="N587" s="35">
        <v>2.3074956E7</v>
      </c>
      <c r="O587" s="35">
        <v>2.091307E7</v>
      </c>
      <c r="P587" s="35" t="s">
        <v>229</v>
      </c>
    </row>
    <row r="588">
      <c r="J588" s="35" t="s">
        <v>809</v>
      </c>
      <c r="K588" t="str">
        <f>G43</f>
        <v>S1a1b1d</v>
      </c>
      <c r="M588" s="73" t="s">
        <v>810</v>
      </c>
      <c r="N588" s="35">
        <v>2.311524E7</v>
      </c>
      <c r="O588" s="35">
        <v>2.0953354E7</v>
      </c>
      <c r="P588" s="35" t="s">
        <v>221</v>
      </c>
    </row>
    <row r="589">
      <c r="J589" s="35" t="s">
        <v>811</v>
      </c>
      <c r="K589" t="str">
        <f>G43</f>
        <v>S1a1b1d</v>
      </c>
      <c r="M589" s="73" t="s">
        <v>812</v>
      </c>
      <c r="N589" s="35">
        <v>2.3132361E7</v>
      </c>
      <c r="O589" s="35">
        <v>2.0970475E7</v>
      </c>
      <c r="P589" s="35" t="s">
        <v>221</v>
      </c>
    </row>
    <row r="590">
      <c r="J590" s="35" t="s">
        <v>813</v>
      </c>
      <c r="K590" t="str">
        <f>G43</f>
        <v>S1a1b1d</v>
      </c>
      <c r="M590" s="73" t="s">
        <v>814</v>
      </c>
      <c r="N590" s="35">
        <v>2.3150644E7</v>
      </c>
      <c r="O590" s="35">
        <v>2.0988758E7</v>
      </c>
      <c r="P590" s="35" t="s">
        <v>219</v>
      </c>
    </row>
    <row r="591">
      <c r="J591" s="35" t="s">
        <v>815</v>
      </c>
      <c r="K591" t="str">
        <f>G43</f>
        <v>S1a1b1d</v>
      </c>
      <c r="M591" s="73" t="s">
        <v>816</v>
      </c>
      <c r="N591" s="35">
        <v>2.3257577E7</v>
      </c>
      <c r="O591" s="35">
        <v>2.1095691E7</v>
      </c>
      <c r="P591" s="35" t="s">
        <v>232</v>
      </c>
    </row>
    <row r="592">
      <c r="J592" s="35" t="s">
        <v>817</v>
      </c>
      <c r="K592" t="str">
        <f>G43</f>
        <v>S1a1b1d</v>
      </c>
      <c r="M592" s="73" t="s">
        <v>818</v>
      </c>
      <c r="N592" s="35">
        <v>2.3305572E7</v>
      </c>
      <c r="O592" s="35">
        <v>2.1143686E7</v>
      </c>
      <c r="P592" s="35" t="s">
        <v>221</v>
      </c>
    </row>
    <row r="593">
      <c r="J593" s="35" t="s">
        <v>819</v>
      </c>
      <c r="K593" t="str">
        <f>G43</f>
        <v>S1a1b1d</v>
      </c>
      <c r="M593" s="73" t="s">
        <v>820</v>
      </c>
      <c r="N593" s="35">
        <v>2.3337421E7</v>
      </c>
      <c r="O593" s="35">
        <v>2.1175535E7</v>
      </c>
      <c r="P593" s="35" t="s">
        <v>221</v>
      </c>
    </row>
    <row r="594">
      <c r="J594" s="35" t="s">
        <v>821</v>
      </c>
      <c r="K594" t="str">
        <f>G43</f>
        <v>S1a1b1d</v>
      </c>
      <c r="M594" s="73" t="s">
        <v>822</v>
      </c>
      <c r="N594" s="35">
        <v>2.3483609E7</v>
      </c>
      <c r="O594" s="35">
        <v>2.1321723E7</v>
      </c>
      <c r="P594" s="35" t="s">
        <v>232</v>
      </c>
    </row>
    <row r="595">
      <c r="J595" s="35" t="s">
        <v>823</v>
      </c>
      <c r="K595" t="str">
        <f>G43</f>
        <v>S1a1b1d</v>
      </c>
      <c r="M595" s="73" t="s">
        <v>824</v>
      </c>
      <c r="N595" s="35">
        <v>2.3525815E7</v>
      </c>
      <c r="O595" s="35">
        <v>2.1363929E7</v>
      </c>
      <c r="P595" s="35" t="s">
        <v>255</v>
      </c>
    </row>
    <row r="596">
      <c r="J596" s="35" t="s">
        <v>825</v>
      </c>
      <c r="K596" t="str">
        <f>G43</f>
        <v>S1a1b1d</v>
      </c>
      <c r="M596" s="73" t="s">
        <v>826</v>
      </c>
      <c r="N596" s="35">
        <v>2.3615305E7</v>
      </c>
      <c r="O596" s="35">
        <v>2.1453419E7</v>
      </c>
      <c r="P596" s="35" t="s">
        <v>283</v>
      </c>
    </row>
    <row r="597">
      <c r="J597" s="35" t="s">
        <v>827</v>
      </c>
      <c r="K597" t="str">
        <f>G43</f>
        <v>S1a1b1d</v>
      </c>
      <c r="M597" s="73" t="s">
        <v>828</v>
      </c>
      <c r="N597" s="35">
        <v>2.3756473E7</v>
      </c>
      <c r="O597" s="35">
        <v>2.1594587E7</v>
      </c>
      <c r="P597" s="35" t="s">
        <v>302</v>
      </c>
    </row>
    <row r="598">
      <c r="J598" s="35" t="s">
        <v>829</v>
      </c>
      <c r="K598" t="str">
        <f t="shared" ref="K598:K599" si="5">G43</f>
        <v>S1a1b1d</v>
      </c>
      <c r="M598" s="73" t="s">
        <v>830</v>
      </c>
      <c r="N598" s="35">
        <v>2.3806696E7</v>
      </c>
      <c r="O598" s="35">
        <v>2.164481E7</v>
      </c>
      <c r="P598" s="35" t="s">
        <v>219</v>
      </c>
    </row>
    <row r="599">
      <c r="J599" s="35" t="s">
        <v>831</v>
      </c>
      <c r="K599" t="str">
        <f t="shared" si="5"/>
        <v>S1a1b1d~</v>
      </c>
      <c r="N599" s="35">
        <v>1.4990845E7</v>
      </c>
      <c r="O599" s="35">
        <v>1.287893E7</v>
      </c>
      <c r="P599" s="35" t="s">
        <v>229</v>
      </c>
    </row>
    <row r="600">
      <c r="J600" s="35" t="s">
        <v>832</v>
      </c>
      <c r="K600" t="str">
        <f>G44</f>
        <v>S1a1b1d~</v>
      </c>
      <c r="M600" s="73" t="s">
        <v>833</v>
      </c>
      <c r="N600" s="35">
        <v>8813404.0</v>
      </c>
      <c r="O600" s="35">
        <v>8945363.0</v>
      </c>
      <c r="P600" s="35" t="s">
        <v>232</v>
      </c>
    </row>
    <row r="601">
      <c r="J601" s="35" t="s">
        <v>834</v>
      </c>
      <c r="K601" t="str">
        <f>G44</f>
        <v>S1a1b1d~</v>
      </c>
      <c r="M601" s="73" t="s">
        <v>835</v>
      </c>
      <c r="N601" s="35">
        <v>1.8096484E7</v>
      </c>
      <c r="O601" s="35">
        <v>1.5984604E7</v>
      </c>
      <c r="P601" s="35" t="s">
        <v>221</v>
      </c>
    </row>
    <row r="602">
      <c r="J602" s="35" t="s">
        <v>836</v>
      </c>
      <c r="K602" t="str">
        <f>H45</f>
        <v>S1a1b1d1</v>
      </c>
      <c r="N602" s="35">
        <v>1.4169274E7</v>
      </c>
      <c r="O602" s="35">
        <v>1.2048568E7</v>
      </c>
      <c r="P602" s="35" t="s">
        <v>219</v>
      </c>
    </row>
    <row r="603">
      <c r="J603" s="35" t="s">
        <v>837</v>
      </c>
      <c r="K603" t="str">
        <f>H45</f>
        <v>S1a1b1d1</v>
      </c>
      <c r="N603" s="35">
        <v>1.5549286E7</v>
      </c>
      <c r="O603" s="35">
        <v>1.3437406E7</v>
      </c>
      <c r="P603" s="35" t="s">
        <v>232</v>
      </c>
    </row>
    <row r="604">
      <c r="J604" s="35" t="s">
        <v>63</v>
      </c>
      <c r="K604" t="str">
        <f>I46</f>
        <v>S1a1b1d1a</v>
      </c>
      <c r="M604" s="35" t="s">
        <v>838</v>
      </c>
      <c r="N604" s="35">
        <v>1.5591447E7</v>
      </c>
      <c r="O604" s="35">
        <v>1.3479567E7</v>
      </c>
      <c r="P604" s="35" t="s">
        <v>221</v>
      </c>
    </row>
    <row r="605">
      <c r="J605" s="35" t="s">
        <v>839</v>
      </c>
      <c r="K605" t="str">
        <f>J47</f>
        <v>S1a1b1d1a~</v>
      </c>
      <c r="N605" s="74">
        <v>2.3023114E7</v>
      </c>
      <c r="O605" s="75">
        <v>2.0861228E7</v>
      </c>
      <c r="P605" s="80" t="s">
        <v>224</v>
      </c>
    </row>
    <row r="606">
      <c r="J606" s="35" t="s">
        <v>840</v>
      </c>
      <c r="K606" t="str">
        <f>J47</f>
        <v>S1a1b1d1a~</v>
      </c>
      <c r="M606" s="77" t="s">
        <v>841</v>
      </c>
      <c r="N606" s="75">
        <v>8439947.0</v>
      </c>
      <c r="O606" s="75">
        <v>8571906.0</v>
      </c>
      <c r="P606" s="80" t="s">
        <v>232</v>
      </c>
    </row>
    <row r="607">
      <c r="J607" s="35" t="s">
        <v>842</v>
      </c>
      <c r="K607" t="str">
        <f>J47</f>
        <v>S1a1b1d1a~</v>
      </c>
      <c r="N607" s="74">
        <v>6975001.0</v>
      </c>
      <c r="O607" s="75">
        <v>7106960.0</v>
      </c>
      <c r="P607" s="80" t="s">
        <v>219</v>
      </c>
    </row>
    <row r="608">
      <c r="J608" s="35" t="s">
        <v>843</v>
      </c>
      <c r="K608" t="str">
        <f>J47</f>
        <v>S1a1b1d1a~</v>
      </c>
      <c r="N608" s="75">
        <v>2.1711997E7</v>
      </c>
      <c r="O608" s="75">
        <v>1.9550111E7</v>
      </c>
      <c r="P608" s="80" t="s">
        <v>255</v>
      </c>
    </row>
    <row r="609">
      <c r="J609" s="35" t="s">
        <v>844</v>
      </c>
      <c r="K609" t="str">
        <f>J47</f>
        <v>S1a1b1d1a~</v>
      </c>
      <c r="N609" s="74">
        <v>7999115.0</v>
      </c>
      <c r="O609" s="75">
        <v>8131074.0</v>
      </c>
      <c r="P609" s="80" t="s">
        <v>283</v>
      </c>
    </row>
    <row r="610">
      <c r="J610" s="35" t="s">
        <v>845</v>
      </c>
      <c r="K610" t="str">
        <f>J47</f>
        <v>S1a1b1d1a~</v>
      </c>
      <c r="N610" s="74">
        <v>2721638.0</v>
      </c>
      <c r="O610" s="75">
        <v>2853597.0</v>
      </c>
      <c r="P610" s="80" t="s">
        <v>219</v>
      </c>
    </row>
    <row r="611">
      <c r="J611" s="35" t="s">
        <v>846</v>
      </c>
      <c r="K611" t="str">
        <f>J47</f>
        <v>S1a1b1d1a~</v>
      </c>
      <c r="N611" s="74">
        <v>6685729.0</v>
      </c>
      <c r="O611" s="75">
        <v>6817688.0</v>
      </c>
      <c r="P611" s="80" t="s">
        <v>224</v>
      </c>
    </row>
    <row r="612">
      <c r="J612" s="35" t="s">
        <v>847</v>
      </c>
      <c r="K612" t="str">
        <f>J47</f>
        <v>S1a1b1d1a~</v>
      </c>
      <c r="N612" s="74">
        <v>6708594.0</v>
      </c>
      <c r="O612" s="75">
        <v>6840553.0</v>
      </c>
      <c r="P612" s="80" t="s">
        <v>221</v>
      </c>
    </row>
    <row r="613">
      <c r="J613" s="35" t="s">
        <v>848</v>
      </c>
      <c r="K613" t="str">
        <f>J47</f>
        <v>S1a1b1d1a~</v>
      </c>
      <c r="N613" s="74">
        <v>6726953.0</v>
      </c>
      <c r="O613" s="75">
        <v>6858912.0</v>
      </c>
      <c r="P613" s="80" t="s">
        <v>221</v>
      </c>
    </row>
    <row r="614">
      <c r="J614" s="35" t="s">
        <v>849</v>
      </c>
      <c r="K614" t="str">
        <f t="shared" ref="K614:K615" si="6">J47</f>
        <v>S1a1b1d1a~</v>
      </c>
      <c r="N614" s="74">
        <v>6847490.0</v>
      </c>
      <c r="O614" s="75">
        <v>6979449.0</v>
      </c>
      <c r="P614" s="80" t="s">
        <v>232</v>
      </c>
    </row>
    <row r="615">
      <c r="J615" s="35" t="s">
        <v>850</v>
      </c>
      <c r="K615" t="str">
        <f t="shared" si="6"/>
        <v>S1a1b1d1b~</v>
      </c>
      <c r="N615" s="74">
        <v>8440226.0</v>
      </c>
      <c r="O615" s="75">
        <v>8572185.0</v>
      </c>
      <c r="P615" s="80" t="s">
        <v>221</v>
      </c>
    </row>
    <row r="616">
      <c r="J616" s="35" t="s">
        <v>851</v>
      </c>
      <c r="K616" t="str">
        <f>J48</f>
        <v>S1a1b1d1b~</v>
      </c>
      <c r="N616" s="74">
        <v>1.7553662E7</v>
      </c>
      <c r="O616" s="75">
        <v>1.5441782E7</v>
      </c>
      <c r="P616" s="80" t="s">
        <v>221</v>
      </c>
    </row>
    <row r="617">
      <c r="J617" s="35" t="s">
        <v>852</v>
      </c>
      <c r="K617" t="str">
        <f>J48</f>
        <v>S1a1b1d1b~</v>
      </c>
      <c r="N617" s="74">
        <v>2.186903E7</v>
      </c>
      <c r="O617" s="75">
        <v>1.9707144E7</v>
      </c>
      <c r="P617" s="80" t="s">
        <v>221</v>
      </c>
    </row>
    <row r="618">
      <c r="J618" s="35" t="s">
        <v>853</v>
      </c>
      <c r="K618" t="str">
        <f>J48</f>
        <v>S1a1b1d1b~</v>
      </c>
      <c r="N618" s="74">
        <v>1.9287329E7</v>
      </c>
      <c r="O618" s="75">
        <v>1.7175449E7</v>
      </c>
      <c r="P618" s="80" t="s">
        <v>242</v>
      </c>
    </row>
    <row r="619">
      <c r="J619" s="35" t="s">
        <v>854</v>
      </c>
      <c r="K619" t="str">
        <f>J48</f>
        <v>S1a1b1d1b~</v>
      </c>
      <c r="N619" s="74">
        <v>2743353.0</v>
      </c>
      <c r="O619" s="75">
        <v>2875312.0</v>
      </c>
      <c r="P619" s="80" t="s">
        <v>221</v>
      </c>
    </row>
    <row r="620">
      <c r="J620" s="35" t="s">
        <v>855</v>
      </c>
      <c r="K620" t="str">
        <f>J48</f>
        <v>S1a1b1d1b~</v>
      </c>
      <c r="N620" s="74">
        <v>2771924.0</v>
      </c>
      <c r="O620" s="75">
        <v>2903883.0</v>
      </c>
      <c r="P620" s="80" t="s">
        <v>219</v>
      </c>
    </row>
    <row r="621">
      <c r="J621" s="35" t="s">
        <v>856</v>
      </c>
      <c r="K621" t="str">
        <f>J48</f>
        <v>S1a1b1d1b~</v>
      </c>
      <c r="N621" s="74">
        <v>2795847.0</v>
      </c>
      <c r="O621" s="75">
        <v>2927806.0</v>
      </c>
      <c r="P621" s="80" t="s">
        <v>229</v>
      </c>
    </row>
    <row r="622">
      <c r="J622" s="35" t="s">
        <v>857</v>
      </c>
      <c r="K622" t="str">
        <f>J48</f>
        <v>S1a1b1d1b~</v>
      </c>
      <c r="N622" s="74">
        <v>7542745.0</v>
      </c>
      <c r="O622" s="75">
        <v>7674704.0</v>
      </c>
      <c r="P622" s="80" t="s">
        <v>219</v>
      </c>
    </row>
    <row r="623">
      <c r="J623" s="35" t="s">
        <v>858</v>
      </c>
      <c r="K623" t="str">
        <f>J48</f>
        <v>S1a1b1d1b~</v>
      </c>
      <c r="N623" s="74">
        <v>7694580.0</v>
      </c>
      <c r="O623" s="75">
        <v>7826539.0</v>
      </c>
      <c r="P623" s="80" t="s">
        <v>232</v>
      </c>
    </row>
    <row r="624">
      <c r="J624" s="35" t="s">
        <v>69</v>
      </c>
      <c r="K624" t="str">
        <f>H49</f>
        <v>S1a1b1d2~</v>
      </c>
      <c r="N624" s="75">
        <v>6863452.0</v>
      </c>
      <c r="O624" s="75">
        <v>6995411.0</v>
      </c>
      <c r="P624" s="80" t="s">
        <v>232</v>
      </c>
    </row>
    <row r="625">
      <c r="J625" s="35" t="s">
        <v>859</v>
      </c>
      <c r="K625" t="str">
        <f>I50</f>
        <v>S1a1b1d2a~</v>
      </c>
      <c r="N625" s="75">
        <v>2772504.0</v>
      </c>
      <c r="O625" s="75">
        <v>2904463.0</v>
      </c>
      <c r="P625" s="80" t="s">
        <v>221</v>
      </c>
    </row>
    <row r="626">
      <c r="J626" s="35" t="s">
        <v>860</v>
      </c>
      <c r="K626" t="str">
        <f>I50</f>
        <v>S1a1b1d2a~</v>
      </c>
      <c r="N626" s="75">
        <v>2878702.0</v>
      </c>
      <c r="O626" s="75">
        <v>3010661.0</v>
      </c>
      <c r="P626" s="80" t="s">
        <v>219</v>
      </c>
    </row>
    <row r="627">
      <c r="J627" s="35" t="s">
        <v>861</v>
      </c>
      <c r="K627" t="str">
        <f>I50</f>
        <v>S1a1b1d2a~</v>
      </c>
      <c r="N627" s="75">
        <v>6657850.0</v>
      </c>
      <c r="O627" s="75">
        <v>6789809.0</v>
      </c>
      <c r="P627" s="80" t="s">
        <v>255</v>
      </c>
    </row>
    <row r="628">
      <c r="J628" s="35" t="s">
        <v>862</v>
      </c>
      <c r="K628" t="str">
        <f>I50</f>
        <v>S1a1b1d2a~</v>
      </c>
      <c r="N628" s="75">
        <v>6763358.0</v>
      </c>
      <c r="O628" s="75">
        <v>6895317.0</v>
      </c>
      <c r="P628" s="80" t="s">
        <v>221</v>
      </c>
    </row>
    <row r="629">
      <c r="J629" s="35" t="s">
        <v>863</v>
      </c>
      <c r="K629" t="str">
        <f t="shared" ref="K629:K630" si="7">I50</f>
        <v>S1a1b1d2a~</v>
      </c>
      <c r="N629" s="75">
        <v>6859717.0</v>
      </c>
      <c r="O629" s="75">
        <v>6991676.0</v>
      </c>
      <c r="P629" s="80" t="s">
        <v>221</v>
      </c>
    </row>
    <row r="630">
      <c r="J630" s="79" t="s">
        <v>864</v>
      </c>
      <c r="K630" t="str">
        <f t="shared" si="7"/>
        <v>S1a1b1d2b~</v>
      </c>
      <c r="M630" s="79" t="s">
        <v>865</v>
      </c>
      <c r="N630" s="79">
        <v>1.4017514E7</v>
      </c>
      <c r="O630" s="79">
        <v>1.1896808E7</v>
      </c>
      <c r="P630" s="79" t="s">
        <v>216</v>
      </c>
    </row>
    <row r="631">
      <c r="J631" s="79" t="s">
        <v>866</v>
      </c>
      <c r="K631" t="str">
        <f>I51</f>
        <v>S1a1b1d2b~</v>
      </c>
      <c r="M631" s="79" t="s">
        <v>867</v>
      </c>
      <c r="N631" s="79">
        <v>1.477682E7</v>
      </c>
      <c r="O631" s="79">
        <v>1.2664889E7</v>
      </c>
      <c r="P631" s="79" t="s">
        <v>219</v>
      </c>
    </row>
    <row r="632">
      <c r="J632" s="79" t="s">
        <v>868</v>
      </c>
      <c r="K632" t="str">
        <f>I51</f>
        <v>S1a1b1d2b~</v>
      </c>
      <c r="M632" s="79" t="s">
        <v>869</v>
      </c>
      <c r="N632" s="79">
        <v>1.8691881E7</v>
      </c>
      <c r="O632" s="79">
        <v>1.6580001E7</v>
      </c>
      <c r="P632" s="79" t="s">
        <v>216</v>
      </c>
    </row>
    <row r="633">
      <c r="J633" s="79" t="s">
        <v>870</v>
      </c>
      <c r="K633" t="str">
        <f>I51</f>
        <v>S1a1b1d2b~</v>
      </c>
      <c r="N633" s="79">
        <v>1.3934078E7</v>
      </c>
      <c r="O633" s="79">
        <v>1.1813372E7</v>
      </c>
      <c r="P633" s="79" t="s">
        <v>219</v>
      </c>
    </row>
    <row r="634">
      <c r="J634" s="79" t="s">
        <v>871</v>
      </c>
      <c r="K634" t="str">
        <f>I51</f>
        <v>S1a1b1d2b~</v>
      </c>
      <c r="M634" s="79" t="s">
        <v>872</v>
      </c>
      <c r="N634" s="79">
        <v>1.9558296E7</v>
      </c>
      <c r="O634" s="79">
        <v>1.7446416E7</v>
      </c>
      <c r="P634" s="79" t="s">
        <v>255</v>
      </c>
    </row>
    <row r="635">
      <c r="J635" s="79" t="s">
        <v>873</v>
      </c>
      <c r="K635" t="str">
        <f>I51</f>
        <v>S1a1b1d2b~</v>
      </c>
      <c r="M635" s="79" t="s">
        <v>874</v>
      </c>
      <c r="N635" s="79">
        <v>1.8986742E7</v>
      </c>
      <c r="O635" s="79">
        <v>1.6874862E7</v>
      </c>
      <c r="P635" s="79" t="s">
        <v>242</v>
      </c>
    </row>
    <row r="636">
      <c r="J636" s="79" t="s">
        <v>875</v>
      </c>
      <c r="K636" t="str">
        <f>I51</f>
        <v>S1a1b1d2b~</v>
      </c>
      <c r="M636" s="79" t="s">
        <v>876</v>
      </c>
      <c r="N636" s="79">
        <v>1.7348176E7</v>
      </c>
      <c r="O636" s="79">
        <v>1.5236296E7</v>
      </c>
      <c r="P636" s="79" t="s">
        <v>221</v>
      </c>
    </row>
    <row r="637">
      <c r="J637" s="79" t="s">
        <v>877</v>
      </c>
      <c r="K637" t="str">
        <f>I51</f>
        <v>S1a1b1d2b~</v>
      </c>
      <c r="M637" s="79" t="s">
        <v>878</v>
      </c>
      <c r="N637" s="79">
        <v>2.2148435E7</v>
      </c>
      <c r="O637" s="79">
        <v>1.9986549E7</v>
      </c>
      <c r="P637" s="79" t="s">
        <v>242</v>
      </c>
    </row>
    <row r="638">
      <c r="J638" s="79" t="s">
        <v>879</v>
      </c>
      <c r="K638" t="str">
        <f>I51</f>
        <v>S1a1b1d2b~</v>
      </c>
      <c r="M638" s="79" t="s">
        <v>880</v>
      </c>
      <c r="N638" s="79">
        <v>1.9383554E7</v>
      </c>
      <c r="O638" s="79">
        <v>1.7271674E7</v>
      </c>
      <c r="P638" s="79" t="s">
        <v>216</v>
      </c>
    </row>
    <row r="639">
      <c r="J639" s="79" t="s">
        <v>881</v>
      </c>
      <c r="K639" t="str">
        <f>I51</f>
        <v>S1a1b1d2b~</v>
      </c>
      <c r="M639" s="79" t="s">
        <v>882</v>
      </c>
      <c r="N639" s="79">
        <v>2.123884E7</v>
      </c>
      <c r="O639" s="79">
        <v>1.9076954E7</v>
      </c>
      <c r="P639" s="79" t="s">
        <v>221</v>
      </c>
    </row>
    <row r="640">
      <c r="J640" s="79" t="s">
        <v>883</v>
      </c>
      <c r="K640" t="str">
        <f>I51</f>
        <v>S1a1b1d2b~</v>
      </c>
      <c r="M640" s="79" t="s">
        <v>884</v>
      </c>
      <c r="N640" s="79">
        <v>6859497.0</v>
      </c>
      <c r="O640" s="79">
        <v>6991456.0</v>
      </c>
      <c r="P640" s="79" t="s">
        <v>302</v>
      </c>
    </row>
    <row r="641">
      <c r="J641" s="79" t="s">
        <v>885</v>
      </c>
      <c r="K641" t="str">
        <f>I51</f>
        <v>S1a1b1d2b~</v>
      </c>
      <c r="M641" s="79" t="s">
        <v>886</v>
      </c>
      <c r="N641" s="79">
        <v>6980057.0</v>
      </c>
      <c r="O641" s="79">
        <v>7112016.0</v>
      </c>
      <c r="P641" s="79" t="s">
        <v>219</v>
      </c>
    </row>
    <row r="642">
      <c r="J642" s="79" t="s">
        <v>887</v>
      </c>
      <c r="K642" t="str">
        <f>I51</f>
        <v>S1a1b1d2b~</v>
      </c>
      <c r="M642" s="79" t="s">
        <v>888</v>
      </c>
      <c r="N642" s="79">
        <v>7881112.0</v>
      </c>
      <c r="O642" s="79">
        <v>8013071.0</v>
      </c>
      <c r="P642" s="79" t="s">
        <v>302</v>
      </c>
    </row>
    <row r="643">
      <c r="J643" s="79" t="s">
        <v>889</v>
      </c>
      <c r="K643" t="str">
        <f>I51</f>
        <v>S1a1b1d2b~</v>
      </c>
      <c r="N643" s="79">
        <v>8284317.0</v>
      </c>
      <c r="O643" s="79">
        <v>8416276.0</v>
      </c>
      <c r="P643" s="79" t="s">
        <v>242</v>
      </c>
    </row>
    <row r="644">
      <c r="J644" s="79" t="s">
        <v>890</v>
      </c>
      <c r="K644" t="str">
        <f>I51</f>
        <v>S1a1b1d2b~</v>
      </c>
      <c r="M644" s="79" t="s">
        <v>891</v>
      </c>
      <c r="N644" s="79">
        <v>8853853.0</v>
      </c>
      <c r="O644" s="79">
        <v>8985812.0</v>
      </c>
      <c r="P644" s="79" t="s">
        <v>221</v>
      </c>
    </row>
    <row r="645">
      <c r="J645" s="79" t="s">
        <v>892</v>
      </c>
      <c r="K645" t="str">
        <f>I51</f>
        <v>S1a1b1d2b~</v>
      </c>
      <c r="M645" s="79" t="s">
        <v>893</v>
      </c>
      <c r="N645" s="79">
        <v>8891563.0</v>
      </c>
      <c r="O645" s="79">
        <v>9023522.0</v>
      </c>
      <c r="P645" s="79" t="s">
        <v>219</v>
      </c>
    </row>
    <row r="646">
      <c r="J646" s="79" t="s">
        <v>894</v>
      </c>
      <c r="K646" t="str">
        <f>I51</f>
        <v>S1a1b1d2b~</v>
      </c>
      <c r="M646" s="79" t="s">
        <v>895</v>
      </c>
      <c r="N646" s="79">
        <v>9374940.0</v>
      </c>
      <c r="O646" s="79">
        <v>9537331.0</v>
      </c>
      <c r="P646" s="79" t="s">
        <v>221</v>
      </c>
    </row>
    <row r="647">
      <c r="J647" s="79" t="s">
        <v>896</v>
      </c>
      <c r="K647" t="str">
        <f>I51</f>
        <v>S1a1b1d2b~</v>
      </c>
      <c r="M647" s="79" t="s">
        <v>897</v>
      </c>
      <c r="N647" s="79">
        <v>1.3133439E7</v>
      </c>
      <c r="O647" s="79">
        <v>1.0622925E7</v>
      </c>
      <c r="P647" s="79" t="s">
        <v>283</v>
      </c>
    </row>
    <row r="648">
      <c r="J648" s="79" t="s">
        <v>898</v>
      </c>
      <c r="K648" t="str">
        <f>I51</f>
        <v>S1a1b1d2b~</v>
      </c>
      <c r="M648" s="79" t="s">
        <v>899</v>
      </c>
      <c r="N648" s="79">
        <v>1.3904673E7</v>
      </c>
      <c r="O648" s="83">
        <v>1.1783967E7</v>
      </c>
      <c r="P648" s="79" t="s">
        <v>302</v>
      </c>
    </row>
    <row r="649">
      <c r="J649" s="79" t="s">
        <v>900</v>
      </c>
      <c r="K649" t="str">
        <f>I51</f>
        <v>S1a1b1d2b~</v>
      </c>
      <c r="M649" s="79" t="s">
        <v>901</v>
      </c>
      <c r="N649" s="79">
        <v>1.4398443E7</v>
      </c>
      <c r="O649" s="79">
        <v>1.2277739E7</v>
      </c>
      <c r="P649" s="79" t="s">
        <v>219</v>
      </c>
    </row>
    <row r="650">
      <c r="J650" s="79" t="s">
        <v>902</v>
      </c>
      <c r="K650" t="str">
        <f>I51</f>
        <v>S1a1b1d2b~</v>
      </c>
      <c r="M650" s="79" t="s">
        <v>903</v>
      </c>
      <c r="N650" s="79">
        <v>1.4437345E7</v>
      </c>
      <c r="O650" s="79">
        <v>1.2316618E7</v>
      </c>
      <c r="P650" s="79" t="s">
        <v>232</v>
      </c>
    </row>
    <row r="651">
      <c r="J651" s="79" t="s">
        <v>904</v>
      </c>
      <c r="K651" t="str">
        <f>I51</f>
        <v>S1a1b1d2b~</v>
      </c>
      <c r="M651" s="79" t="s">
        <v>905</v>
      </c>
      <c r="N651" s="79">
        <v>1.4439615E7</v>
      </c>
      <c r="O651" s="79">
        <v>1.2318888E7</v>
      </c>
      <c r="P651" s="79" t="s">
        <v>283</v>
      </c>
    </row>
    <row r="652">
      <c r="J652" s="79" t="s">
        <v>906</v>
      </c>
      <c r="K652" t="str">
        <f>I51</f>
        <v>S1a1b1d2b~</v>
      </c>
      <c r="M652" s="79" t="s">
        <v>907</v>
      </c>
      <c r="N652" s="79">
        <v>1.4550651E7</v>
      </c>
      <c r="O652" s="79">
        <v>1.2438852E7</v>
      </c>
      <c r="P652" s="79" t="s">
        <v>232</v>
      </c>
    </row>
    <row r="653">
      <c r="J653" s="79" t="s">
        <v>908</v>
      </c>
      <c r="K653" t="str">
        <f>I51</f>
        <v>S1a1b1d2b~</v>
      </c>
      <c r="M653" s="79" t="s">
        <v>909</v>
      </c>
      <c r="N653" s="79">
        <v>1.4814608E7</v>
      </c>
      <c r="O653" s="79">
        <v>1.2702679E7</v>
      </c>
      <c r="P653" s="79" t="s">
        <v>302</v>
      </c>
    </row>
    <row r="654">
      <c r="J654" s="79" t="s">
        <v>910</v>
      </c>
      <c r="K654" t="str">
        <f>I51</f>
        <v>S1a1b1d2b~</v>
      </c>
      <c r="M654" s="79" t="s">
        <v>911</v>
      </c>
      <c r="N654" s="79">
        <v>1.5113375E7</v>
      </c>
      <c r="O654" s="79">
        <v>1.3001462E7</v>
      </c>
      <c r="P654" s="79" t="s">
        <v>285</v>
      </c>
    </row>
    <row r="655">
      <c r="J655" s="79" t="s">
        <v>912</v>
      </c>
      <c r="K655" t="str">
        <f>I51</f>
        <v>S1a1b1d2b~</v>
      </c>
      <c r="M655" s="79" t="s">
        <v>913</v>
      </c>
      <c r="N655" s="79">
        <v>1.5144191E7</v>
      </c>
      <c r="O655" s="79">
        <v>1.3032278E7</v>
      </c>
      <c r="P655" s="79" t="s">
        <v>302</v>
      </c>
    </row>
    <row r="656">
      <c r="J656" s="79" t="s">
        <v>914</v>
      </c>
      <c r="K656" t="str">
        <f>I51</f>
        <v>S1a1b1d2b~</v>
      </c>
      <c r="M656" s="79" t="s">
        <v>915</v>
      </c>
      <c r="N656" s="79">
        <v>1.5219081E7</v>
      </c>
      <c r="O656" s="79">
        <v>1.3107167E7</v>
      </c>
      <c r="P656" s="79" t="s">
        <v>221</v>
      </c>
    </row>
    <row r="657">
      <c r="J657" s="79" t="s">
        <v>916</v>
      </c>
      <c r="K657" t="str">
        <f>I51</f>
        <v>S1a1b1d2b~</v>
      </c>
      <c r="M657" s="79" t="s">
        <v>917</v>
      </c>
      <c r="N657" s="79">
        <v>1.5311946E7</v>
      </c>
      <c r="O657" s="79">
        <v>1.3200051E7</v>
      </c>
      <c r="P657" s="79" t="s">
        <v>285</v>
      </c>
    </row>
    <row r="658">
      <c r="J658" s="79" t="s">
        <v>918</v>
      </c>
      <c r="K658" t="str">
        <f>I51</f>
        <v>S1a1b1d2b~</v>
      </c>
      <c r="M658" s="79" t="s">
        <v>919</v>
      </c>
      <c r="N658" s="79">
        <v>1.537838E7</v>
      </c>
      <c r="O658" s="79">
        <v>1.32665E7</v>
      </c>
      <c r="P658" s="79" t="s">
        <v>235</v>
      </c>
    </row>
    <row r="659">
      <c r="J659" s="79" t="s">
        <v>920</v>
      </c>
      <c r="K659" t="str">
        <f>I51</f>
        <v>S1a1b1d2b~</v>
      </c>
      <c r="M659" s="79" t="s">
        <v>921</v>
      </c>
      <c r="N659" s="79">
        <v>1.5444974E7</v>
      </c>
      <c r="O659" s="79">
        <v>1.3333094E7</v>
      </c>
      <c r="P659" s="79" t="s">
        <v>235</v>
      </c>
    </row>
    <row r="660">
      <c r="J660" s="79" t="s">
        <v>922</v>
      </c>
      <c r="K660" t="str">
        <f>I51</f>
        <v>S1a1b1d2b~</v>
      </c>
      <c r="M660" s="79" t="s">
        <v>923</v>
      </c>
      <c r="N660" s="79">
        <v>1.5500768E7</v>
      </c>
      <c r="O660" s="79">
        <v>1.3388888E7</v>
      </c>
      <c r="P660" s="79" t="s">
        <v>235</v>
      </c>
    </row>
    <row r="661">
      <c r="J661" s="79" t="s">
        <v>924</v>
      </c>
      <c r="K661" t="str">
        <f>I51</f>
        <v>S1a1b1d2b~</v>
      </c>
      <c r="M661" s="79" t="s">
        <v>925</v>
      </c>
      <c r="N661" s="79">
        <v>1.5939786E7</v>
      </c>
      <c r="O661" s="79">
        <v>1.3827906E7</v>
      </c>
      <c r="P661" s="79" t="s">
        <v>285</v>
      </c>
    </row>
    <row r="662">
      <c r="J662" s="79" t="s">
        <v>926</v>
      </c>
      <c r="K662" t="str">
        <f>I51</f>
        <v>S1a1b1d2b~</v>
      </c>
      <c r="M662" s="79" t="s">
        <v>927</v>
      </c>
      <c r="N662" s="79">
        <v>1.6085108E7</v>
      </c>
      <c r="O662" s="79">
        <v>1.3973228E7</v>
      </c>
      <c r="P662" s="79" t="s">
        <v>285</v>
      </c>
    </row>
    <row r="663">
      <c r="J663" s="79" t="s">
        <v>928</v>
      </c>
      <c r="K663" t="str">
        <f>I51</f>
        <v>S1a1b1d2b~</v>
      </c>
      <c r="M663" s="79" t="s">
        <v>929</v>
      </c>
      <c r="N663" s="79">
        <v>1.6230475E7</v>
      </c>
      <c r="O663" s="79">
        <v>1.4118595E7</v>
      </c>
      <c r="P663" s="79" t="s">
        <v>255</v>
      </c>
    </row>
    <row r="664">
      <c r="J664" s="79" t="s">
        <v>930</v>
      </c>
      <c r="K664" t="str">
        <f>I51</f>
        <v>S1a1b1d2b~</v>
      </c>
      <c r="M664" s="79" t="s">
        <v>931</v>
      </c>
      <c r="N664" s="79">
        <v>1.6407428E7</v>
      </c>
      <c r="O664" s="79">
        <v>1.4295548E7</v>
      </c>
      <c r="P664" s="79" t="s">
        <v>302</v>
      </c>
    </row>
    <row r="665">
      <c r="J665" s="79" t="s">
        <v>932</v>
      </c>
      <c r="K665" t="str">
        <f>I51</f>
        <v>S1a1b1d2b~</v>
      </c>
      <c r="M665" s="79" t="s">
        <v>933</v>
      </c>
      <c r="N665" s="79">
        <v>1.6896047E7</v>
      </c>
      <c r="O665" s="79">
        <v>1.4784167E7</v>
      </c>
      <c r="P665" s="79" t="s">
        <v>285</v>
      </c>
    </row>
    <row r="666">
      <c r="J666" s="79" t="s">
        <v>934</v>
      </c>
      <c r="K666" t="str">
        <f>I51</f>
        <v>S1a1b1d2b~</v>
      </c>
      <c r="N666" s="79">
        <v>1.7581956E7</v>
      </c>
      <c r="O666" s="79">
        <v>1.5470076E7</v>
      </c>
      <c r="P666" s="79" t="s">
        <v>302</v>
      </c>
    </row>
    <row r="667">
      <c r="J667" s="79" t="s">
        <v>935</v>
      </c>
      <c r="K667" t="str">
        <f>I51</f>
        <v>S1a1b1d2b~</v>
      </c>
      <c r="M667" s="79" t="s">
        <v>936</v>
      </c>
      <c r="N667" s="79">
        <v>1.8021064E7</v>
      </c>
      <c r="O667" s="79">
        <v>1.5909184E7</v>
      </c>
      <c r="P667" s="79" t="s">
        <v>229</v>
      </c>
    </row>
    <row r="668">
      <c r="J668" s="79" t="s">
        <v>937</v>
      </c>
      <c r="K668" t="str">
        <f>I51</f>
        <v>S1a1b1d2b~</v>
      </c>
      <c r="M668" s="79" t="s">
        <v>938</v>
      </c>
      <c r="N668" s="79">
        <v>1.8022034E7</v>
      </c>
      <c r="O668" s="79">
        <v>1.5910154E7</v>
      </c>
      <c r="P668" s="79" t="s">
        <v>302</v>
      </c>
    </row>
    <row r="669">
      <c r="J669" s="79" t="s">
        <v>939</v>
      </c>
      <c r="K669" t="str">
        <f>I51</f>
        <v>S1a1b1d2b~</v>
      </c>
      <c r="M669" s="79" t="s">
        <v>940</v>
      </c>
      <c r="N669" s="79">
        <v>1.8253628E7</v>
      </c>
      <c r="O669" s="79">
        <v>1.6141748E7</v>
      </c>
      <c r="P669" s="79" t="s">
        <v>302</v>
      </c>
    </row>
    <row r="670">
      <c r="J670" s="79" t="s">
        <v>941</v>
      </c>
      <c r="K670" t="str">
        <f>I51</f>
        <v>S1a1b1d2b~</v>
      </c>
      <c r="M670" s="79" t="s">
        <v>942</v>
      </c>
      <c r="N670" s="79">
        <v>1.8396528E7</v>
      </c>
      <c r="O670" s="79">
        <v>1.6284648E7</v>
      </c>
      <c r="P670" s="79" t="s">
        <v>216</v>
      </c>
    </row>
    <row r="671">
      <c r="J671" s="79" t="s">
        <v>943</v>
      </c>
      <c r="K671" t="str">
        <f>I51</f>
        <v>S1a1b1d2b~</v>
      </c>
      <c r="M671" s="79" t="s">
        <v>944</v>
      </c>
      <c r="N671" s="79">
        <v>1.841377E7</v>
      </c>
      <c r="O671" s="79">
        <v>1.630189E7</v>
      </c>
      <c r="P671" s="79" t="s">
        <v>302</v>
      </c>
    </row>
    <row r="672">
      <c r="J672" s="79" t="s">
        <v>945</v>
      </c>
      <c r="K672" t="str">
        <f>I51</f>
        <v>S1a1b1d2b~</v>
      </c>
      <c r="M672" s="79" t="s">
        <v>946</v>
      </c>
      <c r="N672" s="79">
        <v>1.8611071E7</v>
      </c>
      <c r="O672" s="79">
        <v>1.6499191E7</v>
      </c>
      <c r="P672" s="79" t="s">
        <v>302</v>
      </c>
    </row>
    <row r="673">
      <c r="J673" s="79" t="s">
        <v>947</v>
      </c>
      <c r="K673" t="str">
        <f>I51</f>
        <v>S1a1b1d2b~</v>
      </c>
      <c r="M673" s="79" t="s">
        <v>948</v>
      </c>
      <c r="N673" s="79">
        <v>1.8756786E7</v>
      </c>
      <c r="O673" s="79">
        <v>1.6644906E7</v>
      </c>
      <c r="P673" s="79" t="s">
        <v>219</v>
      </c>
    </row>
    <row r="674">
      <c r="J674" s="79" t="s">
        <v>949</v>
      </c>
      <c r="K674" t="str">
        <f>I51</f>
        <v>S1a1b1d2b~</v>
      </c>
      <c r="M674" s="79" t="s">
        <v>950</v>
      </c>
      <c r="N674" s="79">
        <v>1.8940284E7</v>
      </c>
      <c r="O674" s="79">
        <v>1.6828404E7</v>
      </c>
      <c r="P674" s="79" t="s">
        <v>255</v>
      </c>
    </row>
    <row r="675">
      <c r="J675" s="79" t="s">
        <v>951</v>
      </c>
      <c r="K675" t="str">
        <f>I51</f>
        <v>S1a1b1d2b~</v>
      </c>
      <c r="M675" s="79" t="s">
        <v>952</v>
      </c>
      <c r="N675" s="79">
        <v>1.9126575E7</v>
      </c>
      <c r="O675" s="79">
        <v>1.7014695E7</v>
      </c>
      <c r="P675" s="79" t="s">
        <v>232</v>
      </c>
    </row>
    <row r="676">
      <c r="J676" s="79" t="s">
        <v>953</v>
      </c>
      <c r="K676" t="str">
        <f>I51</f>
        <v>S1a1b1d2b~</v>
      </c>
      <c r="M676" s="79" t="s">
        <v>954</v>
      </c>
      <c r="N676" s="79">
        <v>1.9169826E7</v>
      </c>
      <c r="O676" s="79">
        <v>1.7057946E7</v>
      </c>
      <c r="P676" s="79" t="s">
        <v>302</v>
      </c>
    </row>
    <row r="677">
      <c r="J677" s="79" t="s">
        <v>955</v>
      </c>
      <c r="K677" t="str">
        <f>I51</f>
        <v>S1a1b1d2b~</v>
      </c>
      <c r="M677" s="79" t="s">
        <v>956</v>
      </c>
      <c r="N677" s="79">
        <v>1.9543063E7</v>
      </c>
      <c r="O677" s="79">
        <v>1.7431183E7</v>
      </c>
      <c r="P677" s="79" t="s">
        <v>235</v>
      </c>
    </row>
    <row r="678">
      <c r="J678" s="79" t="s">
        <v>957</v>
      </c>
      <c r="K678" t="str">
        <f>I51</f>
        <v>S1a1b1d2b~</v>
      </c>
      <c r="M678" s="79" t="s">
        <v>958</v>
      </c>
      <c r="N678" s="79">
        <v>2.0833907E7</v>
      </c>
      <c r="O678" s="79">
        <v>1.8672021E7</v>
      </c>
      <c r="P678" s="79" t="s">
        <v>221</v>
      </c>
    </row>
    <row r="679">
      <c r="J679" s="79" t="s">
        <v>959</v>
      </c>
      <c r="K679" t="str">
        <f>I51</f>
        <v>S1a1b1d2b~</v>
      </c>
      <c r="M679" s="79" t="s">
        <v>960</v>
      </c>
      <c r="N679" s="79">
        <v>2.1429217E7</v>
      </c>
      <c r="O679" s="79">
        <v>1.9267331E7</v>
      </c>
      <c r="P679" s="79" t="s">
        <v>216</v>
      </c>
    </row>
    <row r="680">
      <c r="J680" s="79" t="s">
        <v>961</v>
      </c>
      <c r="K680" t="str">
        <f>I51</f>
        <v>S1a1b1d2b~</v>
      </c>
      <c r="M680" s="79" t="s">
        <v>962</v>
      </c>
      <c r="N680" s="79">
        <v>2.1833998E7</v>
      </c>
      <c r="O680" s="79">
        <v>1.9672112E7</v>
      </c>
      <c r="P680" s="79" t="s">
        <v>219</v>
      </c>
    </row>
    <row r="681">
      <c r="J681" s="79" t="s">
        <v>963</v>
      </c>
      <c r="K681" t="str">
        <f>I51</f>
        <v>S1a1b1d2b~</v>
      </c>
      <c r="M681" s="79" t="s">
        <v>964</v>
      </c>
      <c r="N681" s="79">
        <v>2.273418E7</v>
      </c>
      <c r="O681" s="79">
        <v>2.0572294E7</v>
      </c>
      <c r="P681" s="79" t="s">
        <v>302</v>
      </c>
    </row>
    <row r="682">
      <c r="J682" s="79" t="s">
        <v>965</v>
      </c>
      <c r="K682" t="str">
        <f>I51</f>
        <v>S1a1b1d2b~</v>
      </c>
      <c r="M682" s="79" t="s">
        <v>966</v>
      </c>
      <c r="N682" s="79">
        <v>2.301047E7</v>
      </c>
      <c r="O682" s="79">
        <v>2.0848584E7</v>
      </c>
      <c r="P682" s="79" t="s">
        <v>235</v>
      </c>
    </row>
    <row r="683">
      <c r="J683" s="79" t="s">
        <v>967</v>
      </c>
      <c r="K683" t="str">
        <f>I51</f>
        <v>S1a1b1d2b~</v>
      </c>
      <c r="M683" s="79" t="s">
        <v>968</v>
      </c>
      <c r="N683" s="79">
        <v>2.3954625E7</v>
      </c>
      <c r="O683" s="79">
        <v>2.1808478E7</v>
      </c>
      <c r="P683" s="79" t="s">
        <v>285</v>
      </c>
    </row>
    <row r="684">
      <c r="J684" s="79" t="s">
        <v>969</v>
      </c>
      <c r="K684" t="str">
        <f>I51</f>
        <v>S1a1b1d2b~</v>
      </c>
      <c r="M684" s="79" t="s">
        <v>970</v>
      </c>
      <c r="N684" s="79">
        <v>2.4426434E7</v>
      </c>
      <c r="O684" s="79">
        <v>2.2280287E7</v>
      </c>
      <c r="P684" s="79" t="s">
        <v>302</v>
      </c>
    </row>
    <row r="685">
      <c r="J685" s="79" t="s">
        <v>971</v>
      </c>
      <c r="K685" t="str">
        <f>I51</f>
        <v>S1a1b1d2b~</v>
      </c>
      <c r="M685" s="79" t="s">
        <v>972</v>
      </c>
      <c r="N685" s="79">
        <v>8731932.0</v>
      </c>
      <c r="O685" s="79">
        <v>8863891.0</v>
      </c>
      <c r="P685" s="79" t="s">
        <v>235</v>
      </c>
    </row>
    <row r="686">
      <c r="J686" s="79" t="s">
        <v>973</v>
      </c>
      <c r="K686" t="str">
        <f>I51</f>
        <v>S1a1b1d2b~</v>
      </c>
      <c r="M686" s="79" t="s">
        <v>974</v>
      </c>
      <c r="N686" s="79">
        <v>1.3825127E7</v>
      </c>
      <c r="O686" s="79">
        <v>1.1704421E7</v>
      </c>
      <c r="P686" s="79" t="s">
        <v>242</v>
      </c>
    </row>
    <row r="687">
      <c r="J687" s="79" t="s">
        <v>975</v>
      </c>
      <c r="K687" t="str">
        <f>I51</f>
        <v>S1a1b1d2b~</v>
      </c>
      <c r="M687" s="79" t="s">
        <v>976</v>
      </c>
      <c r="N687" s="79">
        <v>1.3844966E7</v>
      </c>
      <c r="O687" s="79">
        <v>1.172426E7</v>
      </c>
      <c r="P687" s="79" t="s">
        <v>219</v>
      </c>
    </row>
    <row r="688">
      <c r="J688" s="79" t="s">
        <v>977</v>
      </c>
      <c r="K688" t="str">
        <f>I51</f>
        <v>S1a1b1d2b~</v>
      </c>
      <c r="M688" s="79" t="s">
        <v>978</v>
      </c>
      <c r="N688" s="79">
        <v>1.3864914E7</v>
      </c>
      <c r="O688" s="79">
        <v>1.1744208E7</v>
      </c>
      <c r="P688" s="79" t="s">
        <v>285</v>
      </c>
    </row>
    <row r="689">
      <c r="J689" s="79" t="s">
        <v>979</v>
      </c>
      <c r="K689" t="str">
        <f>I51</f>
        <v>S1a1b1d2b~</v>
      </c>
      <c r="M689" s="79" t="s">
        <v>980</v>
      </c>
      <c r="N689" s="79">
        <v>1.4028806E7</v>
      </c>
      <c r="O689" s="79">
        <v>1.19081E7</v>
      </c>
      <c r="P689" s="79" t="s">
        <v>302</v>
      </c>
    </row>
    <row r="690">
      <c r="J690" s="79" t="s">
        <v>981</v>
      </c>
      <c r="K690" t="str">
        <f>I51</f>
        <v>S1a1b1d2b~</v>
      </c>
      <c r="M690" s="79" t="s">
        <v>982</v>
      </c>
      <c r="N690" s="79">
        <v>1.4126236E7</v>
      </c>
      <c r="O690" s="79">
        <v>1.200553E7</v>
      </c>
      <c r="P690" s="79" t="s">
        <v>219</v>
      </c>
    </row>
    <row r="691">
      <c r="J691" s="79" t="s">
        <v>983</v>
      </c>
      <c r="K691" t="str">
        <f>I51</f>
        <v>S1a1b1d2b~</v>
      </c>
      <c r="M691" s="79" t="s">
        <v>984</v>
      </c>
      <c r="N691" s="79">
        <v>1.4239071E7</v>
      </c>
      <c r="O691" s="79">
        <v>1.2118365E7</v>
      </c>
      <c r="P691" s="79" t="s">
        <v>302</v>
      </c>
    </row>
    <row r="692">
      <c r="J692" s="79" t="s">
        <v>985</v>
      </c>
      <c r="K692" t="str">
        <f>I51</f>
        <v>S1a1b1d2b~</v>
      </c>
      <c r="M692" s="79" t="s">
        <v>986</v>
      </c>
      <c r="N692" s="79">
        <v>1.5111954E7</v>
      </c>
      <c r="O692" s="79">
        <v>1.3000041E7</v>
      </c>
      <c r="P692" s="79" t="s">
        <v>235</v>
      </c>
    </row>
    <row r="693">
      <c r="J693" s="79" t="s">
        <v>987</v>
      </c>
      <c r="K693" t="str">
        <f>I51</f>
        <v>S1a1b1d2b~</v>
      </c>
      <c r="M693" s="79" t="s">
        <v>988</v>
      </c>
      <c r="N693" s="79">
        <v>1.5336331E7</v>
      </c>
      <c r="O693" s="79">
        <v>1.3224449E7</v>
      </c>
      <c r="P693" s="79" t="s">
        <v>219</v>
      </c>
    </row>
    <row r="694">
      <c r="J694" s="79" t="s">
        <v>989</v>
      </c>
      <c r="K694" t="str">
        <f>I51</f>
        <v>S1a1b1d2b~</v>
      </c>
      <c r="M694" s="79" t="s">
        <v>990</v>
      </c>
      <c r="N694" s="79">
        <v>1.5732696E7</v>
      </c>
      <c r="O694" s="79">
        <v>1.3620816E7</v>
      </c>
      <c r="P694" s="79" t="s">
        <v>302</v>
      </c>
    </row>
    <row r="695">
      <c r="J695" s="79" t="s">
        <v>991</v>
      </c>
      <c r="K695" t="str">
        <f>I51</f>
        <v>S1a1b1d2b~</v>
      </c>
      <c r="M695" s="79" t="s">
        <v>992</v>
      </c>
      <c r="N695" s="79">
        <v>1.7170626E7</v>
      </c>
      <c r="O695" s="79">
        <v>1.5058746E7</v>
      </c>
      <c r="P695" s="79" t="s">
        <v>219</v>
      </c>
    </row>
    <row r="696">
      <c r="J696" s="79" t="s">
        <v>993</v>
      </c>
      <c r="K696" t="str">
        <f>I51</f>
        <v>S1a1b1d2b~</v>
      </c>
      <c r="M696" s="79" t="s">
        <v>994</v>
      </c>
      <c r="N696" s="79">
        <v>1.7264361E7</v>
      </c>
      <c r="O696" s="79">
        <v>1.5152481E7</v>
      </c>
      <c r="P696" s="79" t="s">
        <v>302</v>
      </c>
    </row>
    <row r="697">
      <c r="J697" s="79" t="s">
        <v>995</v>
      </c>
      <c r="K697" t="str">
        <f>I51</f>
        <v>S1a1b1d2b~</v>
      </c>
      <c r="M697" s="79" t="s">
        <v>996</v>
      </c>
      <c r="N697" s="79">
        <v>1.7689891E7</v>
      </c>
      <c r="O697" s="79">
        <v>1.5578011E7</v>
      </c>
      <c r="P697" s="79" t="s">
        <v>235</v>
      </c>
    </row>
    <row r="698">
      <c r="J698" s="79" t="s">
        <v>997</v>
      </c>
      <c r="K698" t="str">
        <f>I51</f>
        <v>S1a1b1d2b~</v>
      </c>
      <c r="M698" s="79" t="s">
        <v>998</v>
      </c>
      <c r="N698" s="79">
        <v>1.7934211E7</v>
      </c>
      <c r="O698" s="79">
        <v>1.5822331E7</v>
      </c>
      <c r="P698" s="79" t="s">
        <v>224</v>
      </c>
    </row>
    <row r="699">
      <c r="J699" s="79" t="s">
        <v>999</v>
      </c>
      <c r="K699" t="str">
        <f>I51</f>
        <v>S1a1b1d2b~</v>
      </c>
      <c r="M699" s="79" t="s">
        <v>1000</v>
      </c>
      <c r="N699" s="79">
        <v>1.8019231E7</v>
      </c>
      <c r="O699" s="79">
        <v>1.5907351E7</v>
      </c>
      <c r="P699" s="79" t="s">
        <v>302</v>
      </c>
    </row>
    <row r="700">
      <c r="J700" s="79" t="s">
        <v>1001</v>
      </c>
      <c r="K700" t="str">
        <f>I51</f>
        <v>S1a1b1d2b~</v>
      </c>
      <c r="M700" s="79" t="s">
        <v>1002</v>
      </c>
      <c r="N700" s="79">
        <v>1.841291E7</v>
      </c>
      <c r="O700" s="79">
        <v>1.630103E7</v>
      </c>
      <c r="P700" s="79" t="s">
        <v>221</v>
      </c>
    </row>
    <row r="701">
      <c r="J701" s="79" t="s">
        <v>1003</v>
      </c>
      <c r="K701" t="str">
        <f>I51</f>
        <v>S1a1b1d2b~</v>
      </c>
      <c r="M701" s="79" t="s">
        <v>1004</v>
      </c>
      <c r="N701" s="79">
        <v>1.9463113E7</v>
      </c>
      <c r="O701" s="79">
        <v>1.7351233E7</v>
      </c>
      <c r="P701" s="79" t="s">
        <v>302</v>
      </c>
    </row>
    <row r="702">
      <c r="J702" s="79" t="s">
        <v>1005</v>
      </c>
      <c r="K702" t="str">
        <f>I51</f>
        <v>S1a1b1d2b~</v>
      </c>
      <c r="M702" s="79" t="s">
        <v>1006</v>
      </c>
      <c r="N702" s="79">
        <v>2.1472115E7</v>
      </c>
      <c r="O702" s="79">
        <v>1.9310229E7</v>
      </c>
      <c r="P702" s="79" t="s">
        <v>285</v>
      </c>
    </row>
    <row r="703">
      <c r="J703" s="79" t="s">
        <v>1007</v>
      </c>
      <c r="K703" t="str">
        <f>I51</f>
        <v>S1a1b1d2b~</v>
      </c>
      <c r="M703" s="79" t="s">
        <v>1008</v>
      </c>
      <c r="N703" s="79">
        <v>2.1987773E7</v>
      </c>
      <c r="O703" s="79">
        <v>1.9825887E7</v>
      </c>
      <c r="P703" s="79" t="s">
        <v>232</v>
      </c>
    </row>
    <row r="704">
      <c r="J704" s="79" t="s">
        <v>1009</v>
      </c>
      <c r="K704" t="str">
        <f>I51</f>
        <v>S1a1b1d2b~</v>
      </c>
      <c r="N704" s="79">
        <v>2.2188679E7</v>
      </c>
      <c r="O704" s="79">
        <v>2.0026793E7</v>
      </c>
      <c r="P704" s="79" t="s">
        <v>221</v>
      </c>
    </row>
    <row r="705">
      <c r="J705" s="79" t="s">
        <v>1010</v>
      </c>
      <c r="K705" t="str">
        <f>I51</f>
        <v>S1a1b1d2b~</v>
      </c>
      <c r="M705" s="79" t="s">
        <v>1011</v>
      </c>
      <c r="N705" s="79">
        <v>2.2524112E7</v>
      </c>
      <c r="O705" s="79">
        <v>2.0362226E7</v>
      </c>
      <c r="P705" s="79" t="s">
        <v>216</v>
      </c>
    </row>
    <row r="706">
      <c r="J706" s="79" t="s">
        <v>1012</v>
      </c>
      <c r="K706" t="str">
        <f>I51</f>
        <v>S1a1b1d2b~</v>
      </c>
      <c r="M706" s="79" t="s">
        <v>1013</v>
      </c>
      <c r="N706" s="79">
        <v>2.2968051E7</v>
      </c>
      <c r="O706" s="79">
        <v>2.0806165E7</v>
      </c>
      <c r="P706" s="79" t="s">
        <v>302</v>
      </c>
    </row>
    <row r="707">
      <c r="J707" s="79" t="s">
        <v>1014</v>
      </c>
      <c r="K707" t="str">
        <f>I51</f>
        <v>S1a1b1d2b~</v>
      </c>
      <c r="M707" s="79" t="s">
        <v>1015</v>
      </c>
      <c r="N707" s="79">
        <v>2.3165247E7</v>
      </c>
      <c r="O707" s="79">
        <v>2.1003361E7</v>
      </c>
      <c r="P707" s="79" t="s">
        <v>285</v>
      </c>
    </row>
    <row r="708">
      <c r="J708" s="79" t="s">
        <v>1016</v>
      </c>
      <c r="K708" t="str">
        <f>I51</f>
        <v>S1a1b1d2b~</v>
      </c>
      <c r="M708" s="79" t="s">
        <v>133</v>
      </c>
      <c r="N708" s="79">
        <v>2.3256616E7</v>
      </c>
      <c r="O708" s="79">
        <v>2.109473E7</v>
      </c>
      <c r="P708" s="79" t="s">
        <v>224</v>
      </c>
    </row>
    <row r="709">
      <c r="J709" s="79" t="s">
        <v>1017</v>
      </c>
      <c r="K709" t="str">
        <f>I51</f>
        <v>S1a1b1d2b~</v>
      </c>
      <c r="M709" s="79" t="s">
        <v>1018</v>
      </c>
      <c r="N709" s="79">
        <v>2.8552657E7</v>
      </c>
      <c r="O709" s="79">
        <v>2.640651E7</v>
      </c>
      <c r="P709" s="79" t="s">
        <v>229</v>
      </c>
    </row>
    <row r="710">
      <c r="J710" s="79" t="s">
        <v>1019</v>
      </c>
      <c r="K710" t="str">
        <f>I51</f>
        <v>S1a1b1d2b~</v>
      </c>
      <c r="M710" s="79" t="s">
        <v>1020</v>
      </c>
      <c r="N710" s="79">
        <v>2.8555913E7</v>
      </c>
      <c r="O710" s="79">
        <v>2.6409766E7</v>
      </c>
      <c r="P710" s="79" t="s">
        <v>232</v>
      </c>
    </row>
    <row r="711">
      <c r="J711" s="79" t="s">
        <v>1021</v>
      </c>
      <c r="K711" t="str">
        <f>I51</f>
        <v>S1a1b1d2b~</v>
      </c>
      <c r="M711" s="79" t="s">
        <v>1022</v>
      </c>
      <c r="N711" s="79">
        <v>1.3855431E7</v>
      </c>
      <c r="O711" s="79">
        <v>1.1734725E7</v>
      </c>
      <c r="P711" s="79" t="s">
        <v>221</v>
      </c>
    </row>
    <row r="712">
      <c r="J712" s="79" t="s">
        <v>1023</v>
      </c>
      <c r="K712" t="str">
        <f>I51</f>
        <v>S1a1b1d2b~</v>
      </c>
      <c r="M712" s="79" t="s">
        <v>1024</v>
      </c>
      <c r="N712" s="79">
        <v>1.003218E7</v>
      </c>
      <c r="O712" s="79">
        <v>1.0194571E7</v>
      </c>
      <c r="P712" s="79" t="s">
        <v>216</v>
      </c>
    </row>
    <row r="713">
      <c r="J713" s="35" t="s">
        <v>1025</v>
      </c>
      <c r="K713" t="str">
        <f>J52</f>
        <v>S1a1b1d2b1~</v>
      </c>
      <c r="M713" s="73" t="s">
        <v>1026</v>
      </c>
      <c r="N713" s="84">
        <v>2733965.0</v>
      </c>
      <c r="O713" s="75">
        <v>2865924.0</v>
      </c>
      <c r="P713" s="80" t="s">
        <v>221</v>
      </c>
    </row>
    <row r="714">
      <c r="J714" s="35" t="s">
        <v>1027</v>
      </c>
      <c r="K714" t="str">
        <f t="shared" ref="K714:K715" si="8">J52</f>
        <v>S1a1b1d2b1~</v>
      </c>
      <c r="M714" s="73" t="s">
        <v>1028</v>
      </c>
      <c r="N714" s="84">
        <v>2745860.0</v>
      </c>
      <c r="O714" s="75">
        <v>2877819.0</v>
      </c>
      <c r="P714" s="80" t="s">
        <v>285</v>
      </c>
    </row>
    <row r="715">
      <c r="J715" s="79" t="s">
        <v>1029</v>
      </c>
      <c r="K715" t="str">
        <f t="shared" si="8"/>
        <v>S1a1b1d2b2~</v>
      </c>
      <c r="N715" s="85">
        <v>6836565.0</v>
      </c>
      <c r="O715" s="85">
        <v>6968524.0</v>
      </c>
      <c r="P715" s="86" t="s">
        <v>232</v>
      </c>
    </row>
    <row r="716">
      <c r="J716" s="79" t="s">
        <v>1030</v>
      </c>
      <c r="K716" t="str">
        <f>J53</f>
        <v>S1a1b1d2b2~</v>
      </c>
      <c r="N716" s="79">
        <v>2.4459053E7</v>
      </c>
      <c r="O716" s="79">
        <v>2.2312906E7</v>
      </c>
      <c r="P716" s="79" t="s">
        <v>219</v>
      </c>
    </row>
    <row r="717">
      <c r="J717" s="79" t="s">
        <v>1031</v>
      </c>
      <c r="K717" t="str">
        <f>J53</f>
        <v>S1a1b1d2b2~</v>
      </c>
      <c r="N717" s="79">
        <v>2.18377E7</v>
      </c>
      <c r="O717" s="79">
        <v>1.9675814E7</v>
      </c>
      <c r="P717" s="79" t="s">
        <v>221</v>
      </c>
    </row>
    <row r="718">
      <c r="J718" s="79" t="s">
        <v>1032</v>
      </c>
      <c r="K718" t="str">
        <f>J53</f>
        <v>S1a1b1d2b2~</v>
      </c>
      <c r="L718" s="79" t="s">
        <v>1033</v>
      </c>
      <c r="N718" s="79">
        <v>6833751.0</v>
      </c>
      <c r="O718" s="79">
        <v>6965710.0</v>
      </c>
      <c r="P718" s="79" t="s">
        <v>219</v>
      </c>
    </row>
    <row r="719">
      <c r="J719" s="79" t="s">
        <v>1033</v>
      </c>
      <c r="K719" t="str">
        <f>J53</f>
        <v>S1a1b1d2b2~</v>
      </c>
      <c r="L719" s="79" t="s">
        <v>1032</v>
      </c>
      <c r="N719" s="79">
        <v>6833751.0</v>
      </c>
      <c r="O719" s="79">
        <v>6965710.0</v>
      </c>
      <c r="P719" s="79" t="s">
        <v>219</v>
      </c>
    </row>
    <row r="720">
      <c r="J720" s="79" t="s">
        <v>1034</v>
      </c>
      <c r="K720" t="str">
        <f>J53</f>
        <v>S1a1b1d2b2~</v>
      </c>
      <c r="M720" s="79" t="s">
        <v>1035</v>
      </c>
      <c r="N720" s="79">
        <v>2.4415893E7</v>
      </c>
      <c r="O720" s="79">
        <v>2.2269746E7</v>
      </c>
      <c r="P720" s="79" t="s">
        <v>216</v>
      </c>
    </row>
    <row r="721">
      <c r="J721" s="79" t="s">
        <v>1036</v>
      </c>
      <c r="K721" t="str">
        <f>J53</f>
        <v>S1a1b1d2b2~</v>
      </c>
      <c r="M721" s="79" t="s">
        <v>1037</v>
      </c>
      <c r="N721" s="79">
        <v>7665200.0</v>
      </c>
      <c r="O721" s="79">
        <v>7797159.0</v>
      </c>
      <c r="P721" s="79" t="s">
        <v>229</v>
      </c>
    </row>
    <row r="722">
      <c r="J722" s="79" t="s">
        <v>1038</v>
      </c>
      <c r="K722" t="str">
        <f>J53</f>
        <v>S1a1b1d2b2~</v>
      </c>
      <c r="M722" s="79" t="s">
        <v>1039</v>
      </c>
      <c r="N722" s="79">
        <v>7962071.0</v>
      </c>
      <c r="O722" s="79">
        <v>8094030.0</v>
      </c>
      <c r="P722" s="79" t="s">
        <v>242</v>
      </c>
    </row>
    <row r="723">
      <c r="J723" s="79" t="s">
        <v>1040</v>
      </c>
      <c r="K723" t="str">
        <f>J53</f>
        <v>S1a1b1d2b2~</v>
      </c>
      <c r="M723" s="79" t="s">
        <v>1041</v>
      </c>
      <c r="N723" s="79">
        <v>1.4248326E7</v>
      </c>
      <c r="O723" s="79">
        <v>1.212762E7</v>
      </c>
      <c r="P723" s="79" t="s">
        <v>219</v>
      </c>
    </row>
    <row r="724">
      <c r="J724" s="79" t="s">
        <v>1042</v>
      </c>
      <c r="K724" t="str">
        <f>J53</f>
        <v>S1a1b1d2b2~</v>
      </c>
      <c r="M724" s="79" t="s">
        <v>1043</v>
      </c>
      <c r="N724" s="79">
        <v>2.1135855E7</v>
      </c>
      <c r="O724" s="79">
        <v>1.8973969E7</v>
      </c>
      <c r="P724" s="79" t="s">
        <v>302</v>
      </c>
    </row>
    <row r="725">
      <c r="J725" s="79" t="s">
        <v>1044</v>
      </c>
      <c r="K725" t="str">
        <f>J53</f>
        <v>S1a1b1d2b2~</v>
      </c>
      <c r="M725" s="79" t="s">
        <v>1045</v>
      </c>
      <c r="N725" s="79">
        <v>2.3416543E7</v>
      </c>
      <c r="O725" s="79">
        <v>2.1254657E7</v>
      </c>
      <c r="P725" s="79" t="s">
        <v>232</v>
      </c>
    </row>
    <row r="726">
      <c r="J726" s="79" t="s">
        <v>1046</v>
      </c>
      <c r="K726" t="str">
        <f>J53</f>
        <v>S1a1b1d2b2~</v>
      </c>
      <c r="N726" s="79">
        <v>1.4410055E7</v>
      </c>
      <c r="O726" s="79">
        <v>1.2289352E7</v>
      </c>
      <c r="P726" s="79" t="s">
        <v>219</v>
      </c>
    </row>
    <row r="727">
      <c r="J727" s="79" t="s">
        <v>1047</v>
      </c>
      <c r="K727" t="str">
        <f>J53</f>
        <v>S1a1b1d2b2~</v>
      </c>
      <c r="N727" s="79">
        <v>9798938.0</v>
      </c>
      <c r="O727" s="79">
        <v>9961329.0</v>
      </c>
      <c r="P727" s="79" t="s">
        <v>221</v>
      </c>
    </row>
    <row r="728">
      <c r="J728" s="79" t="s">
        <v>1048</v>
      </c>
      <c r="K728" t="str">
        <f>J53</f>
        <v>S1a1b1d2b2~</v>
      </c>
      <c r="N728" s="79">
        <v>2716741.0</v>
      </c>
      <c r="O728" s="79">
        <v>2848700.0</v>
      </c>
      <c r="P728" s="79" t="s">
        <v>285</v>
      </c>
    </row>
    <row r="729">
      <c r="J729" s="79" t="s">
        <v>1049</v>
      </c>
      <c r="K729" t="str">
        <f>J53</f>
        <v>S1a1b1d2b2~</v>
      </c>
      <c r="N729" s="79">
        <v>2768396.0</v>
      </c>
      <c r="O729" s="79">
        <v>2900355.0</v>
      </c>
      <c r="P729" s="79" t="s">
        <v>255</v>
      </c>
    </row>
    <row r="730">
      <c r="J730" s="79" t="s">
        <v>1050</v>
      </c>
      <c r="K730" t="str">
        <f>J53</f>
        <v>S1a1b1d2b2~</v>
      </c>
      <c r="N730" s="79">
        <v>2771063.0</v>
      </c>
      <c r="O730" s="79">
        <v>2903022.0</v>
      </c>
      <c r="P730" s="79" t="s">
        <v>255</v>
      </c>
    </row>
    <row r="731">
      <c r="J731" s="79" t="s">
        <v>1051</v>
      </c>
      <c r="K731" t="str">
        <f>J53</f>
        <v>S1a1b1d2b2~</v>
      </c>
      <c r="N731" s="79">
        <v>2800893.0</v>
      </c>
      <c r="O731" s="79">
        <v>2932852.0</v>
      </c>
      <c r="P731" s="79" t="s">
        <v>232</v>
      </c>
    </row>
    <row r="732">
      <c r="J732" s="79" t="s">
        <v>1052</v>
      </c>
      <c r="K732" t="str">
        <f>J53</f>
        <v>S1a1b1d2b2~</v>
      </c>
      <c r="N732" s="79">
        <v>2841921.0</v>
      </c>
      <c r="O732" s="79">
        <v>2973880.0</v>
      </c>
      <c r="P732" s="79" t="s">
        <v>232</v>
      </c>
    </row>
    <row r="733">
      <c r="J733" s="79" t="s">
        <v>1053</v>
      </c>
      <c r="K733" t="str">
        <f>J53</f>
        <v>S1a1b1d2b2~</v>
      </c>
      <c r="N733" s="79">
        <v>6778024.0</v>
      </c>
      <c r="O733" s="79">
        <v>6909983.0</v>
      </c>
      <c r="P733" s="79" t="s">
        <v>221</v>
      </c>
    </row>
    <row r="734">
      <c r="J734" s="79" t="s">
        <v>1054</v>
      </c>
      <c r="K734" t="str">
        <f>J53</f>
        <v>S1a1b1d2b2~</v>
      </c>
      <c r="N734" s="79">
        <v>6933293.0</v>
      </c>
      <c r="O734" s="79">
        <v>7065252.0</v>
      </c>
      <c r="P734" s="79" t="s">
        <v>302</v>
      </c>
    </row>
    <row r="735">
      <c r="J735" s="79" t="s">
        <v>1055</v>
      </c>
      <c r="K735" t="str">
        <f>J53</f>
        <v>S1a1b1d2b2~</v>
      </c>
      <c r="N735" s="79">
        <v>6957004.0</v>
      </c>
      <c r="O735" s="79">
        <v>7088963.0</v>
      </c>
      <c r="P735" s="79" t="s">
        <v>255</v>
      </c>
    </row>
    <row r="736">
      <c r="J736" s="79" t="s">
        <v>1056</v>
      </c>
      <c r="K736" t="str">
        <f>J53</f>
        <v>S1a1b1d2b2~</v>
      </c>
      <c r="N736" s="79">
        <v>6962885.0</v>
      </c>
      <c r="O736" s="79">
        <v>7094844.0</v>
      </c>
      <c r="P736" s="79" t="s">
        <v>229</v>
      </c>
    </row>
    <row r="737">
      <c r="J737" s="79" t="s">
        <v>1057</v>
      </c>
      <c r="K737" t="str">
        <f>J53</f>
        <v>S1a1b1d2b2~</v>
      </c>
      <c r="N737" s="79">
        <v>6990320.0</v>
      </c>
      <c r="O737" s="79">
        <v>7122279.0</v>
      </c>
      <c r="P737" s="79" t="s">
        <v>229</v>
      </c>
    </row>
    <row r="738">
      <c r="J738" s="79" t="s">
        <v>1058</v>
      </c>
      <c r="K738" t="str">
        <f>J53</f>
        <v>S1a1b1d2b2~</v>
      </c>
      <c r="N738" s="79">
        <v>7012697.0</v>
      </c>
      <c r="O738" s="79">
        <v>7144656.0</v>
      </c>
      <c r="P738" s="79" t="s">
        <v>221</v>
      </c>
    </row>
    <row r="739">
      <c r="J739" s="79" t="s">
        <v>1059</v>
      </c>
      <c r="K739" t="str">
        <f>J53</f>
        <v>S1a1b1d2b2~</v>
      </c>
      <c r="N739" s="79">
        <v>7257246.0</v>
      </c>
      <c r="O739" s="79">
        <v>7389205.0</v>
      </c>
      <c r="P739" s="79" t="s">
        <v>232</v>
      </c>
    </row>
    <row r="740">
      <c r="J740" s="79" t="s">
        <v>1060</v>
      </c>
      <c r="K740" t="str">
        <f>J53</f>
        <v>S1a1b1d2b2~</v>
      </c>
      <c r="N740" s="79">
        <v>7455846.0</v>
      </c>
      <c r="O740" s="79">
        <v>7587805.0</v>
      </c>
      <c r="P740" s="79" t="s">
        <v>224</v>
      </c>
    </row>
    <row r="741">
      <c r="J741" s="79" t="s">
        <v>1061</v>
      </c>
      <c r="K741" t="str">
        <f>J53</f>
        <v>S1a1b1d2b2~</v>
      </c>
      <c r="N741" s="79">
        <v>7528783.0</v>
      </c>
      <c r="O741" s="79">
        <v>7660742.0</v>
      </c>
      <c r="P741" s="79" t="s">
        <v>221</v>
      </c>
    </row>
    <row r="742">
      <c r="J742" s="79" t="s">
        <v>1062</v>
      </c>
      <c r="K742" t="str">
        <f>J53</f>
        <v>S1a1b1d2b2~</v>
      </c>
      <c r="N742" s="79">
        <v>7529584.0</v>
      </c>
      <c r="O742" s="79">
        <v>7661543.0</v>
      </c>
      <c r="P742" s="79" t="s">
        <v>221</v>
      </c>
    </row>
    <row r="743">
      <c r="J743" s="79" t="s">
        <v>1063</v>
      </c>
      <c r="K743" t="str">
        <f>J53</f>
        <v>S1a1b1d2b2~</v>
      </c>
      <c r="N743" s="79">
        <v>7693034.0</v>
      </c>
      <c r="O743" s="79">
        <v>7824993.0</v>
      </c>
      <c r="P743" s="79" t="s">
        <v>219</v>
      </c>
    </row>
    <row r="744">
      <c r="J744" s="79" t="s">
        <v>1064</v>
      </c>
      <c r="K744" t="str">
        <f>J53</f>
        <v>S1a1b1d2b2~</v>
      </c>
      <c r="N744" s="79">
        <v>7763168.0</v>
      </c>
      <c r="O744" s="79">
        <v>7895127.0</v>
      </c>
      <c r="P744" s="79" t="s">
        <v>235</v>
      </c>
    </row>
    <row r="745">
      <c r="J745" s="79" t="s">
        <v>1065</v>
      </c>
      <c r="K745" t="str">
        <f>J53</f>
        <v>S1a1b1d2b2~</v>
      </c>
      <c r="N745" s="79">
        <v>7764186.0</v>
      </c>
      <c r="O745" s="79">
        <v>7896145.0</v>
      </c>
      <c r="P745" s="79" t="s">
        <v>224</v>
      </c>
    </row>
    <row r="746">
      <c r="J746" s="79" t="s">
        <v>1066</v>
      </c>
      <c r="K746" t="str">
        <f>J53</f>
        <v>S1a1b1d2b2~</v>
      </c>
      <c r="N746" s="79">
        <v>7784701.0</v>
      </c>
      <c r="O746" s="79">
        <v>7916660.0</v>
      </c>
      <c r="P746" s="79" t="s">
        <v>232</v>
      </c>
    </row>
    <row r="747">
      <c r="J747" s="79" t="s">
        <v>1067</v>
      </c>
      <c r="K747" t="str">
        <f>J53</f>
        <v>S1a1b1d2b2~</v>
      </c>
      <c r="N747" s="79">
        <v>7899540.0</v>
      </c>
      <c r="O747" s="79">
        <v>8031499.0</v>
      </c>
      <c r="P747" s="79" t="s">
        <v>302</v>
      </c>
    </row>
    <row r="748">
      <c r="J748" s="79" t="s">
        <v>1068</v>
      </c>
      <c r="K748" t="str">
        <f>J53</f>
        <v>S1a1b1d2b2~</v>
      </c>
      <c r="N748" s="79">
        <v>7910755.0</v>
      </c>
      <c r="O748" s="79">
        <v>8042714.0</v>
      </c>
      <c r="P748" s="79" t="s">
        <v>302</v>
      </c>
    </row>
    <row r="749">
      <c r="J749" s="79" t="s">
        <v>1069</v>
      </c>
      <c r="K749" t="str">
        <f>J53</f>
        <v>S1a1b1d2b2~</v>
      </c>
      <c r="N749" s="79">
        <v>7945358.0</v>
      </c>
      <c r="O749" s="79">
        <v>8077317.0</v>
      </c>
      <c r="P749" s="79" t="s">
        <v>232</v>
      </c>
    </row>
    <row r="750">
      <c r="J750" s="79" t="s">
        <v>1070</v>
      </c>
      <c r="K750" t="str">
        <f>J53</f>
        <v>S1a1b1d2b2~</v>
      </c>
      <c r="N750" s="79">
        <v>7986306.0</v>
      </c>
      <c r="O750" s="79">
        <v>8118265.0</v>
      </c>
      <c r="P750" s="79" t="s">
        <v>302</v>
      </c>
    </row>
    <row r="751">
      <c r="J751" s="79" t="s">
        <v>1071</v>
      </c>
      <c r="K751" t="str">
        <f>J53</f>
        <v>S1a1b1d2b2~</v>
      </c>
      <c r="N751" s="79">
        <v>8092656.0</v>
      </c>
      <c r="O751" s="79">
        <v>8224615.0</v>
      </c>
      <c r="P751" s="79" t="s">
        <v>255</v>
      </c>
    </row>
    <row r="752">
      <c r="J752" s="79" t="s">
        <v>1072</v>
      </c>
      <c r="K752" t="str">
        <f>J53</f>
        <v>S1a1b1d2b2~</v>
      </c>
      <c r="N752" s="79">
        <v>8249318.0</v>
      </c>
      <c r="O752" s="79">
        <v>8381277.0</v>
      </c>
      <c r="P752" s="79" t="s">
        <v>235</v>
      </c>
    </row>
    <row r="753">
      <c r="J753" s="79" t="s">
        <v>1073</v>
      </c>
      <c r="K753" t="str">
        <f>J53</f>
        <v>S1a1b1d2b2~</v>
      </c>
      <c r="N753" s="79">
        <v>8297400.0</v>
      </c>
      <c r="O753" s="79">
        <v>8429359.0</v>
      </c>
      <c r="P753" s="79" t="s">
        <v>232</v>
      </c>
    </row>
    <row r="754">
      <c r="J754" s="79" t="s">
        <v>1074</v>
      </c>
      <c r="K754" t="str">
        <f>J53</f>
        <v>S1a1b1d2b2~</v>
      </c>
      <c r="N754" s="79">
        <v>8451482.0</v>
      </c>
      <c r="O754" s="79">
        <v>8583441.0</v>
      </c>
      <c r="P754" s="79" t="s">
        <v>232</v>
      </c>
    </row>
    <row r="755">
      <c r="J755" s="79" t="s">
        <v>1075</v>
      </c>
      <c r="K755" t="str">
        <f>J53</f>
        <v>S1a1b1d2b2~</v>
      </c>
      <c r="N755" s="79">
        <v>8743718.0</v>
      </c>
      <c r="O755" s="79">
        <v>8875677.0</v>
      </c>
      <c r="P755" s="79" t="s">
        <v>219</v>
      </c>
    </row>
    <row r="756">
      <c r="J756" s="79" t="s">
        <v>1076</v>
      </c>
      <c r="K756" t="str">
        <f>J53</f>
        <v>S1a1b1d2b2~</v>
      </c>
      <c r="N756" s="79">
        <v>8858049.0</v>
      </c>
      <c r="O756" s="79">
        <v>8990008.0</v>
      </c>
      <c r="P756" s="79" t="s">
        <v>224</v>
      </c>
    </row>
    <row r="757">
      <c r="J757" s="79" t="s">
        <v>1077</v>
      </c>
      <c r="K757" t="str">
        <f>J53</f>
        <v>S1a1b1d2b2~</v>
      </c>
      <c r="N757" s="79">
        <v>9037554.0</v>
      </c>
      <c r="O757" s="79">
        <v>9199945.0</v>
      </c>
      <c r="P757" s="79" t="s">
        <v>219</v>
      </c>
    </row>
    <row r="758">
      <c r="J758" s="79" t="s">
        <v>1078</v>
      </c>
      <c r="K758" t="str">
        <f>J53</f>
        <v>S1a1b1d2b2~</v>
      </c>
      <c r="N758" s="79">
        <v>9103546.0</v>
      </c>
      <c r="O758" s="79">
        <v>9265937.0</v>
      </c>
      <c r="P758" s="79" t="s">
        <v>302</v>
      </c>
    </row>
    <row r="759">
      <c r="J759" s="79" t="s">
        <v>1079</v>
      </c>
      <c r="K759" t="str">
        <f>J53</f>
        <v>S1a1b1d2b2~</v>
      </c>
      <c r="N759" s="79">
        <v>9522705.0</v>
      </c>
      <c r="O759" s="79">
        <v>9685096.0</v>
      </c>
      <c r="P759" s="79" t="s">
        <v>232</v>
      </c>
    </row>
    <row r="760">
      <c r="J760" s="79" t="s">
        <v>1080</v>
      </c>
      <c r="K760" t="str">
        <f>J53</f>
        <v>S1a1b1d2b2~</v>
      </c>
      <c r="N760" s="79">
        <v>9727020.0</v>
      </c>
      <c r="O760" s="79">
        <v>9889411.0</v>
      </c>
      <c r="P760" s="79" t="s">
        <v>285</v>
      </c>
    </row>
    <row r="761">
      <c r="J761" s="79" t="s">
        <v>1081</v>
      </c>
      <c r="K761" t="str">
        <f>J53</f>
        <v>S1a1b1d2b2~</v>
      </c>
      <c r="N761" s="79">
        <v>9849865.0</v>
      </c>
      <c r="O761" s="79">
        <v>1.0012256E7</v>
      </c>
      <c r="P761" s="79" t="s">
        <v>255</v>
      </c>
    </row>
    <row r="762">
      <c r="J762" s="79" t="s">
        <v>1082</v>
      </c>
      <c r="K762" t="str">
        <f>J53</f>
        <v>S1a1b1d2b2~</v>
      </c>
      <c r="N762" s="79">
        <v>1.3963804E7</v>
      </c>
      <c r="O762" s="79">
        <v>1.1843098E7</v>
      </c>
      <c r="P762" s="79" t="s">
        <v>221</v>
      </c>
    </row>
    <row r="763">
      <c r="J763" s="79" t="s">
        <v>1083</v>
      </c>
      <c r="K763" t="str">
        <f>J53</f>
        <v>S1a1b1d2b2~</v>
      </c>
      <c r="N763" s="79">
        <v>1.3998855E7</v>
      </c>
      <c r="O763" s="79">
        <v>1.1878149E7</v>
      </c>
      <c r="P763" s="79" t="s">
        <v>242</v>
      </c>
    </row>
    <row r="764">
      <c r="J764" s="79" t="s">
        <v>1084</v>
      </c>
      <c r="K764" t="str">
        <f>J53</f>
        <v>S1a1b1d2b2~</v>
      </c>
      <c r="N764" s="79">
        <v>1.4077095E7</v>
      </c>
      <c r="O764" s="79">
        <v>1.1956389E7</v>
      </c>
      <c r="P764" s="79" t="s">
        <v>283</v>
      </c>
    </row>
    <row r="765">
      <c r="J765" s="79" t="s">
        <v>1085</v>
      </c>
      <c r="K765" t="str">
        <f>J53</f>
        <v>S1a1b1d2b2~</v>
      </c>
      <c r="N765" s="79">
        <v>1.4151542E7</v>
      </c>
      <c r="O765" s="79">
        <v>1.2030836E7</v>
      </c>
      <c r="P765" s="79" t="s">
        <v>232</v>
      </c>
    </row>
    <row r="766">
      <c r="J766" s="79" t="s">
        <v>1086</v>
      </c>
      <c r="K766" t="str">
        <f>J53</f>
        <v>S1a1b1d2b2~</v>
      </c>
      <c r="N766" s="79">
        <v>1.4243469E7</v>
      </c>
      <c r="O766" s="79">
        <v>1.2122763E7</v>
      </c>
      <c r="P766" s="79" t="s">
        <v>221</v>
      </c>
    </row>
    <row r="767">
      <c r="J767" s="79" t="s">
        <v>1087</v>
      </c>
      <c r="K767" t="str">
        <f>J53</f>
        <v>S1a1b1d2b2~</v>
      </c>
      <c r="N767" s="79">
        <v>1.4286315E7</v>
      </c>
      <c r="O767" s="79">
        <v>1.2165609E7</v>
      </c>
      <c r="P767" s="79" t="s">
        <v>221</v>
      </c>
    </row>
    <row r="768">
      <c r="J768" s="79" t="s">
        <v>1088</v>
      </c>
      <c r="K768" t="str">
        <f>J53</f>
        <v>S1a1b1d2b2~</v>
      </c>
      <c r="M768" s="79" t="s">
        <v>1089</v>
      </c>
      <c r="N768" s="79">
        <v>1.4297656E7</v>
      </c>
      <c r="O768" s="79">
        <v>1.217695E7</v>
      </c>
      <c r="P768" s="79" t="s">
        <v>232</v>
      </c>
    </row>
    <row r="769">
      <c r="J769" s="79" t="s">
        <v>1090</v>
      </c>
      <c r="K769" t="str">
        <f>J53</f>
        <v>S1a1b1d2b2~</v>
      </c>
      <c r="N769" s="79">
        <v>1.4391738E7</v>
      </c>
      <c r="O769" s="79">
        <v>1.2271034E7</v>
      </c>
      <c r="P769" s="79" t="s">
        <v>285</v>
      </c>
    </row>
    <row r="770">
      <c r="J770" s="79" t="s">
        <v>1091</v>
      </c>
      <c r="K770" t="str">
        <f>J53</f>
        <v>S1a1b1d2b2~</v>
      </c>
      <c r="M770" s="79" t="s">
        <v>1092</v>
      </c>
      <c r="N770" s="79">
        <v>1.4554663E7</v>
      </c>
      <c r="O770" s="79">
        <v>1.2442864E7</v>
      </c>
      <c r="P770" s="79" t="s">
        <v>232</v>
      </c>
    </row>
    <row r="771">
      <c r="J771" s="79" t="s">
        <v>1093</v>
      </c>
      <c r="K771" t="str">
        <f>J53</f>
        <v>S1a1b1d2b2~</v>
      </c>
      <c r="N771" s="79">
        <v>1.4648858E7</v>
      </c>
      <c r="O771" s="79">
        <v>1.2536923E7</v>
      </c>
      <c r="P771" s="79" t="s">
        <v>229</v>
      </c>
    </row>
    <row r="772">
      <c r="J772" s="79" t="s">
        <v>1094</v>
      </c>
      <c r="K772" t="str">
        <f>J53</f>
        <v>S1a1b1d2b2~</v>
      </c>
      <c r="N772" s="79">
        <v>1.4763467E7</v>
      </c>
      <c r="O772" s="79">
        <v>1.2651536E7</v>
      </c>
      <c r="P772" s="79" t="s">
        <v>235</v>
      </c>
    </row>
    <row r="773">
      <c r="J773" s="79" t="s">
        <v>1095</v>
      </c>
      <c r="K773" t="str">
        <f>J53</f>
        <v>S1a1b1d2b2~</v>
      </c>
      <c r="N773" s="79">
        <v>1.4791667E7</v>
      </c>
      <c r="O773" s="79">
        <v>1.2679738E7</v>
      </c>
      <c r="P773" s="79" t="s">
        <v>224</v>
      </c>
    </row>
    <row r="774">
      <c r="J774" s="79" t="s">
        <v>1096</v>
      </c>
      <c r="K774" t="str">
        <f>J53</f>
        <v>S1a1b1d2b2~</v>
      </c>
      <c r="N774" s="79">
        <v>1.4803119E7</v>
      </c>
      <c r="O774" s="79">
        <v>1.269119E7</v>
      </c>
      <c r="P774" s="79" t="s">
        <v>235</v>
      </c>
    </row>
    <row r="775">
      <c r="J775" s="79" t="s">
        <v>1097</v>
      </c>
      <c r="K775" t="str">
        <f>J53</f>
        <v>S1a1b1d2b2~</v>
      </c>
      <c r="N775" s="79">
        <v>1.4890442E7</v>
      </c>
      <c r="O775" s="79">
        <v>1.2778508E7</v>
      </c>
      <c r="P775" s="79" t="s">
        <v>219</v>
      </c>
    </row>
    <row r="776">
      <c r="J776" s="79" t="s">
        <v>1098</v>
      </c>
      <c r="K776" t="str">
        <f>J53</f>
        <v>S1a1b1d2b2~</v>
      </c>
      <c r="N776" s="79">
        <v>1.4893919E7</v>
      </c>
      <c r="O776" s="79">
        <v>1.2781985E7</v>
      </c>
      <c r="P776" s="79" t="s">
        <v>219</v>
      </c>
    </row>
    <row r="777">
      <c r="J777" s="79" t="s">
        <v>1099</v>
      </c>
      <c r="K777" t="str">
        <f>J53</f>
        <v>S1a1b1d2b2~</v>
      </c>
      <c r="N777" s="79">
        <v>1.5000297E7</v>
      </c>
      <c r="O777" s="79">
        <v>1.2888382E7</v>
      </c>
      <c r="P777" s="79" t="s">
        <v>285</v>
      </c>
    </row>
    <row r="778">
      <c r="J778" s="79" t="s">
        <v>1100</v>
      </c>
      <c r="K778" t="str">
        <f>J53</f>
        <v>S1a1b1d2b2~</v>
      </c>
      <c r="N778" s="79">
        <v>1.5046727E7</v>
      </c>
      <c r="O778" s="79">
        <v>1.2934817E7</v>
      </c>
      <c r="P778" s="79" t="s">
        <v>302</v>
      </c>
    </row>
    <row r="779">
      <c r="J779" s="79" t="s">
        <v>1101</v>
      </c>
      <c r="K779" t="str">
        <f>J53</f>
        <v>S1a1b1d2b2~</v>
      </c>
      <c r="N779" s="79">
        <v>1.5145872E7</v>
      </c>
      <c r="O779" s="79">
        <v>1.3033959E7</v>
      </c>
      <c r="P779" s="79" t="s">
        <v>302</v>
      </c>
    </row>
    <row r="780">
      <c r="J780" s="79" t="s">
        <v>1102</v>
      </c>
      <c r="K780" t="str">
        <f>J53</f>
        <v>S1a1b1d2b2~</v>
      </c>
      <c r="N780" s="79">
        <v>1.5546713E7</v>
      </c>
      <c r="O780" s="79">
        <v>1.3434833E7</v>
      </c>
      <c r="P780" s="79" t="s">
        <v>219</v>
      </c>
    </row>
    <row r="781">
      <c r="J781" s="79" t="s">
        <v>1103</v>
      </c>
      <c r="K781" t="str">
        <f>J53</f>
        <v>S1a1b1d2b2~</v>
      </c>
      <c r="N781" s="79">
        <v>1.5756441E7</v>
      </c>
      <c r="O781" s="79">
        <v>1.3644561E7</v>
      </c>
      <c r="P781" s="79" t="s">
        <v>285</v>
      </c>
    </row>
    <row r="782">
      <c r="J782" s="79" t="s">
        <v>1104</v>
      </c>
      <c r="K782" t="str">
        <f>J53</f>
        <v>S1a1b1d2b2~</v>
      </c>
      <c r="N782" s="79">
        <v>1.5843495E7</v>
      </c>
      <c r="O782" s="79">
        <v>1.3731615E7</v>
      </c>
      <c r="P782" s="79" t="s">
        <v>232</v>
      </c>
    </row>
    <row r="783">
      <c r="J783" s="79" t="s">
        <v>1105</v>
      </c>
      <c r="K783" t="str">
        <f>J53</f>
        <v>S1a1b1d2b2~</v>
      </c>
      <c r="N783" s="79">
        <v>1.5999108E7</v>
      </c>
      <c r="O783" s="79">
        <v>1.3887228E7</v>
      </c>
      <c r="P783" s="79" t="s">
        <v>283</v>
      </c>
    </row>
    <row r="784">
      <c r="J784" s="79" t="s">
        <v>1106</v>
      </c>
      <c r="K784" t="str">
        <f>J53</f>
        <v>S1a1b1d2b2~</v>
      </c>
      <c r="N784" s="79">
        <v>1.619829E7</v>
      </c>
      <c r="O784" s="79">
        <v>1.408641E7</v>
      </c>
      <c r="P784" s="79" t="s">
        <v>302</v>
      </c>
    </row>
    <row r="785">
      <c r="J785" s="79" t="s">
        <v>1107</v>
      </c>
      <c r="K785" t="str">
        <f>J53</f>
        <v>S1a1b1d2b2~</v>
      </c>
      <c r="N785" s="79">
        <v>1.6217703E7</v>
      </c>
      <c r="O785" s="79">
        <v>1.4105823E7</v>
      </c>
      <c r="P785" s="79" t="s">
        <v>232</v>
      </c>
    </row>
    <row r="786">
      <c r="J786" s="79" t="s">
        <v>1108</v>
      </c>
      <c r="K786" t="str">
        <f>J53</f>
        <v>S1a1b1d2b2~</v>
      </c>
      <c r="N786" s="79">
        <v>1.6387669E7</v>
      </c>
      <c r="O786" s="79">
        <v>1.4275789E7</v>
      </c>
      <c r="P786" s="79" t="s">
        <v>232</v>
      </c>
    </row>
    <row r="787">
      <c r="J787" s="79" t="s">
        <v>1109</v>
      </c>
      <c r="K787" t="str">
        <f>J53</f>
        <v>S1a1b1d2b2~</v>
      </c>
      <c r="N787" s="79">
        <v>1.6462689E7</v>
      </c>
      <c r="O787" s="79">
        <v>1.4350809E7</v>
      </c>
      <c r="P787" s="79" t="s">
        <v>255</v>
      </c>
    </row>
    <row r="788">
      <c r="J788" s="79" t="s">
        <v>1110</v>
      </c>
      <c r="K788" t="str">
        <f>J53</f>
        <v>S1a1b1d2b2~</v>
      </c>
      <c r="N788" s="79">
        <v>1.6489169E7</v>
      </c>
      <c r="O788" s="79">
        <v>1.4377289E7</v>
      </c>
      <c r="P788" s="79" t="s">
        <v>229</v>
      </c>
    </row>
    <row r="789">
      <c r="J789" s="79" t="s">
        <v>1111</v>
      </c>
      <c r="K789" t="str">
        <f>J53</f>
        <v>S1a1b1d2b2~</v>
      </c>
      <c r="N789" s="79">
        <v>1.6525002E7</v>
      </c>
      <c r="O789" s="79">
        <v>1.4413122E7</v>
      </c>
      <c r="P789" s="79" t="s">
        <v>219</v>
      </c>
    </row>
    <row r="790">
      <c r="J790" s="79" t="s">
        <v>1112</v>
      </c>
      <c r="K790" t="str">
        <f>J53</f>
        <v>S1a1b1d2b2~</v>
      </c>
      <c r="N790" s="79">
        <v>1.6556555E7</v>
      </c>
      <c r="O790" s="79">
        <v>1.4444675E7</v>
      </c>
      <c r="P790" s="79" t="s">
        <v>224</v>
      </c>
    </row>
    <row r="791">
      <c r="J791" s="79" t="s">
        <v>1113</v>
      </c>
      <c r="K791" t="str">
        <f>J53</f>
        <v>S1a1b1d2b2~</v>
      </c>
      <c r="N791" s="79">
        <v>1.6604214E7</v>
      </c>
      <c r="O791" s="79">
        <v>1.4492334E7</v>
      </c>
      <c r="P791" s="79" t="s">
        <v>242</v>
      </c>
    </row>
    <row r="792">
      <c r="J792" s="79" t="s">
        <v>1114</v>
      </c>
      <c r="K792" t="str">
        <f>J53</f>
        <v>S1a1b1d2b2~</v>
      </c>
      <c r="N792" s="79">
        <v>1.672494E7</v>
      </c>
      <c r="O792" s="79">
        <v>1.461306E7</v>
      </c>
      <c r="P792" s="79" t="s">
        <v>232</v>
      </c>
    </row>
    <row r="793">
      <c r="J793" s="79" t="s">
        <v>1115</v>
      </c>
      <c r="K793" t="str">
        <f>J53</f>
        <v>S1a1b1d2b2~</v>
      </c>
      <c r="N793" s="79">
        <v>1.6885484E7</v>
      </c>
      <c r="O793" s="79">
        <v>1.4773604E7</v>
      </c>
      <c r="P793" s="79" t="s">
        <v>216</v>
      </c>
    </row>
    <row r="794">
      <c r="J794" s="79" t="s">
        <v>1116</v>
      </c>
      <c r="K794" t="str">
        <f>J53</f>
        <v>S1a1b1d2b2~</v>
      </c>
      <c r="N794" s="79">
        <v>1.7341473E7</v>
      </c>
      <c r="O794" s="79">
        <v>1.5229593E7</v>
      </c>
      <c r="P794" s="79" t="s">
        <v>283</v>
      </c>
    </row>
    <row r="795">
      <c r="J795" s="79" t="s">
        <v>1117</v>
      </c>
      <c r="K795" t="str">
        <f>J53</f>
        <v>S1a1b1d2b2~</v>
      </c>
      <c r="N795" s="79">
        <v>1.7400794E7</v>
      </c>
      <c r="O795" s="79">
        <v>1.5288914E7</v>
      </c>
      <c r="P795" s="79" t="s">
        <v>242</v>
      </c>
    </row>
    <row r="796">
      <c r="J796" s="79" t="s">
        <v>1118</v>
      </c>
      <c r="K796" t="str">
        <f>J53</f>
        <v>S1a1b1d2b2~</v>
      </c>
      <c r="N796" s="79">
        <v>1.7744931E7</v>
      </c>
      <c r="O796" s="79">
        <v>1.5633051E7</v>
      </c>
      <c r="P796" s="79" t="s">
        <v>219</v>
      </c>
    </row>
    <row r="797">
      <c r="J797" s="79" t="s">
        <v>1119</v>
      </c>
      <c r="K797" t="str">
        <f>J53</f>
        <v>S1a1b1d2b2~</v>
      </c>
      <c r="N797" s="79">
        <v>1.7791803E7</v>
      </c>
      <c r="O797" s="79">
        <v>1.5679923E7</v>
      </c>
      <c r="P797" s="79" t="s">
        <v>232</v>
      </c>
    </row>
    <row r="798">
      <c r="J798" s="79" t="s">
        <v>1120</v>
      </c>
      <c r="K798" t="str">
        <f>J53</f>
        <v>S1a1b1d2b2~</v>
      </c>
      <c r="N798" s="79">
        <v>1.7904702E7</v>
      </c>
      <c r="O798" s="79">
        <v>1.5792822E7</v>
      </c>
      <c r="P798" s="79" t="s">
        <v>285</v>
      </c>
    </row>
    <row r="799">
      <c r="J799" s="79" t="s">
        <v>1121</v>
      </c>
      <c r="K799" t="str">
        <f>J53</f>
        <v>S1a1b1d2b2~</v>
      </c>
      <c r="N799" s="79">
        <v>1.7904703E7</v>
      </c>
      <c r="O799" s="79">
        <v>1.5792823E7</v>
      </c>
      <c r="P799" s="79" t="s">
        <v>216</v>
      </c>
    </row>
    <row r="800">
      <c r="J800" s="79" t="s">
        <v>1122</v>
      </c>
      <c r="K800" t="str">
        <f>J53</f>
        <v>S1a1b1d2b2~</v>
      </c>
      <c r="N800" s="79">
        <v>1.8125204E7</v>
      </c>
      <c r="O800" s="79">
        <v>1.6013324E7</v>
      </c>
      <c r="P800" s="79" t="s">
        <v>232</v>
      </c>
    </row>
    <row r="801">
      <c r="J801" s="79" t="s">
        <v>1123</v>
      </c>
      <c r="K801" t="str">
        <f>J53</f>
        <v>S1a1b1d2b2~</v>
      </c>
      <c r="N801" s="79">
        <v>1.824799E7</v>
      </c>
      <c r="O801" s="79">
        <v>1.613611E7</v>
      </c>
      <c r="P801" s="79" t="s">
        <v>219</v>
      </c>
    </row>
    <row r="802">
      <c r="J802" s="79" t="s">
        <v>1124</v>
      </c>
      <c r="K802" t="str">
        <f>J53</f>
        <v>S1a1b1d2b2~</v>
      </c>
      <c r="N802" s="79">
        <v>1.8603022E7</v>
      </c>
      <c r="O802" s="79">
        <v>1.6491142E7</v>
      </c>
      <c r="P802" s="79" t="s">
        <v>221</v>
      </c>
    </row>
    <row r="803">
      <c r="J803" s="79" t="s">
        <v>1125</v>
      </c>
      <c r="K803" t="str">
        <f>J53</f>
        <v>S1a1b1d2b2~</v>
      </c>
      <c r="N803" s="79">
        <v>1.8605987E7</v>
      </c>
      <c r="O803" s="79">
        <v>1.6494107E7</v>
      </c>
      <c r="P803" s="79" t="s">
        <v>302</v>
      </c>
    </row>
    <row r="804">
      <c r="J804" s="79" t="s">
        <v>1126</v>
      </c>
      <c r="K804" t="str">
        <f>J53</f>
        <v>S1a1b1d2b2~</v>
      </c>
      <c r="N804" s="79">
        <v>1.8640062E7</v>
      </c>
      <c r="O804" s="79">
        <v>1.6528182E7</v>
      </c>
      <c r="P804" s="79" t="s">
        <v>232</v>
      </c>
    </row>
    <row r="805">
      <c r="J805" s="79" t="s">
        <v>1127</v>
      </c>
      <c r="K805" t="str">
        <f>J53</f>
        <v>S1a1b1d2b2~</v>
      </c>
      <c r="N805" s="79">
        <v>1.8709397E7</v>
      </c>
      <c r="O805" s="79">
        <v>1.6597517E7</v>
      </c>
      <c r="P805" s="79" t="s">
        <v>229</v>
      </c>
    </row>
    <row r="806">
      <c r="J806" s="79" t="s">
        <v>1128</v>
      </c>
      <c r="K806" t="str">
        <f>J53</f>
        <v>S1a1b1d2b2~</v>
      </c>
      <c r="N806" s="79">
        <v>1.8730933E7</v>
      </c>
      <c r="O806" s="79">
        <v>1.6619053E7</v>
      </c>
      <c r="P806" s="79" t="s">
        <v>221</v>
      </c>
    </row>
    <row r="807">
      <c r="J807" s="79" t="s">
        <v>1129</v>
      </c>
      <c r="K807" t="str">
        <f>J53</f>
        <v>S1a1b1d2b2~</v>
      </c>
      <c r="N807" s="79">
        <v>1.8933355E7</v>
      </c>
      <c r="O807" s="79">
        <v>1.6821475E7</v>
      </c>
      <c r="P807" s="79" t="s">
        <v>242</v>
      </c>
    </row>
    <row r="808">
      <c r="J808" s="79" t="s">
        <v>1130</v>
      </c>
      <c r="K808" t="str">
        <f>J53</f>
        <v>S1a1b1d2b2~</v>
      </c>
      <c r="N808" s="79">
        <v>1.895567E7</v>
      </c>
      <c r="O808" s="79">
        <v>1.684379E7</v>
      </c>
      <c r="P808" s="79" t="s">
        <v>242</v>
      </c>
    </row>
    <row r="809">
      <c r="J809" s="79" t="s">
        <v>1131</v>
      </c>
      <c r="K809" t="str">
        <f>J53</f>
        <v>S1a1b1d2b2~</v>
      </c>
      <c r="N809" s="79">
        <v>1.8999494E7</v>
      </c>
      <c r="O809" s="79">
        <v>1.6887614E7</v>
      </c>
      <c r="P809" s="79" t="s">
        <v>255</v>
      </c>
    </row>
    <row r="810">
      <c r="J810" s="79" t="s">
        <v>1132</v>
      </c>
      <c r="K810" t="str">
        <f>J53</f>
        <v>S1a1b1d2b2~</v>
      </c>
      <c r="N810" s="79">
        <v>1.900356E7</v>
      </c>
      <c r="O810" s="79">
        <v>1.689168E7</v>
      </c>
      <c r="P810" s="79" t="s">
        <v>302</v>
      </c>
    </row>
    <row r="811">
      <c r="J811" s="79" t="s">
        <v>1133</v>
      </c>
      <c r="K811" t="str">
        <f>J53</f>
        <v>S1a1b1d2b2~</v>
      </c>
      <c r="N811" s="79">
        <v>1.910955E7</v>
      </c>
      <c r="O811" s="79">
        <v>1.699767E7</v>
      </c>
      <c r="P811" s="79" t="s">
        <v>221</v>
      </c>
    </row>
    <row r="812">
      <c r="J812" s="79" t="s">
        <v>1134</v>
      </c>
      <c r="K812" t="str">
        <f>J53</f>
        <v>S1a1b1d2b2~</v>
      </c>
      <c r="N812" s="79">
        <v>1.9121584E7</v>
      </c>
      <c r="O812" s="79">
        <v>1.7009704E7</v>
      </c>
      <c r="P812" s="79" t="s">
        <v>219</v>
      </c>
    </row>
    <row r="813">
      <c r="J813" s="79" t="s">
        <v>1135</v>
      </c>
      <c r="K813" t="str">
        <f>J53</f>
        <v>S1a1b1d2b2~</v>
      </c>
      <c r="N813" s="79">
        <v>1.9180855E7</v>
      </c>
      <c r="O813" s="79">
        <v>1.7068975E7</v>
      </c>
      <c r="P813" s="79" t="s">
        <v>283</v>
      </c>
    </row>
    <row r="814">
      <c r="J814" s="79" t="s">
        <v>1136</v>
      </c>
      <c r="K814" t="str">
        <f>J53</f>
        <v>S1a1b1d2b2~</v>
      </c>
      <c r="N814" s="79">
        <v>1.9281008E7</v>
      </c>
      <c r="O814" s="79">
        <v>1.7169128E7</v>
      </c>
      <c r="P814" s="79" t="s">
        <v>219</v>
      </c>
    </row>
    <row r="815">
      <c r="J815" s="79" t="s">
        <v>1137</v>
      </c>
      <c r="K815" t="str">
        <f>J53</f>
        <v>S1a1b1d2b2~</v>
      </c>
      <c r="N815" s="79">
        <v>1.9298283E7</v>
      </c>
      <c r="O815" s="79">
        <v>1.7186403E7</v>
      </c>
      <c r="P815" s="79" t="s">
        <v>219</v>
      </c>
    </row>
    <row r="816">
      <c r="J816" s="79" t="s">
        <v>1138</v>
      </c>
      <c r="K816" t="str">
        <f>J53</f>
        <v>S1a1b1d2b2~</v>
      </c>
      <c r="M816" s="79" t="s">
        <v>1139</v>
      </c>
      <c r="N816" s="79">
        <v>2.1033747E7</v>
      </c>
      <c r="O816" s="79">
        <v>1.8871861E7</v>
      </c>
      <c r="P816" s="79" t="s">
        <v>302</v>
      </c>
    </row>
    <row r="817">
      <c r="J817" s="79" t="s">
        <v>1140</v>
      </c>
      <c r="K817" t="str">
        <f>J53</f>
        <v>S1a1b1d2b2~</v>
      </c>
      <c r="N817" s="79">
        <v>2.1154077E7</v>
      </c>
      <c r="O817" s="79">
        <v>1.8992191E7</v>
      </c>
      <c r="P817" s="79" t="s">
        <v>235</v>
      </c>
    </row>
    <row r="818">
      <c r="J818" s="79" t="s">
        <v>1141</v>
      </c>
      <c r="K818" t="str">
        <f>J53</f>
        <v>S1a1b1d2b2~</v>
      </c>
      <c r="N818" s="79">
        <v>2.1333344E7</v>
      </c>
      <c r="O818" s="79">
        <v>1.9171458E7</v>
      </c>
      <c r="P818" s="79" t="s">
        <v>232</v>
      </c>
    </row>
    <row r="819">
      <c r="J819" s="79" t="s">
        <v>1142</v>
      </c>
      <c r="K819" t="str">
        <f>J53</f>
        <v>S1a1b1d2b2~</v>
      </c>
      <c r="N819" s="79">
        <v>2.1394473E7</v>
      </c>
      <c r="O819" s="79">
        <v>1.9232587E7</v>
      </c>
      <c r="P819" s="79" t="s">
        <v>242</v>
      </c>
    </row>
    <row r="820">
      <c r="J820" s="79" t="s">
        <v>1143</v>
      </c>
      <c r="K820" t="str">
        <f>J53</f>
        <v>S1a1b1d2b2~</v>
      </c>
      <c r="N820" s="79">
        <v>2.1563275E7</v>
      </c>
      <c r="O820" s="79">
        <v>1.9401389E7</v>
      </c>
      <c r="P820" s="79" t="s">
        <v>221</v>
      </c>
    </row>
    <row r="821">
      <c r="J821" s="79" t="s">
        <v>1144</v>
      </c>
      <c r="K821" t="str">
        <f>J53</f>
        <v>S1a1b1d2b2~</v>
      </c>
      <c r="N821" s="79">
        <v>2.1563277E7</v>
      </c>
      <c r="O821" s="79">
        <v>1.9401391E7</v>
      </c>
      <c r="P821" s="79" t="s">
        <v>221</v>
      </c>
    </row>
    <row r="822">
      <c r="J822" s="79" t="s">
        <v>1145</v>
      </c>
      <c r="K822" t="str">
        <f>J53</f>
        <v>S1a1b1d2b2~</v>
      </c>
      <c r="N822" s="79">
        <v>2.1584325E7</v>
      </c>
      <c r="O822" s="79">
        <v>1.9422439E7</v>
      </c>
      <c r="P822" s="79" t="s">
        <v>285</v>
      </c>
    </row>
    <row r="823">
      <c r="J823" s="79" t="s">
        <v>1146</v>
      </c>
      <c r="K823" t="str">
        <f>J53</f>
        <v>S1a1b1d2b2~</v>
      </c>
      <c r="N823" s="79">
        <v>2.1584326E7</v>
      </c>
      <c r="O823" s="79">
        <v>1.942244E7</v>
      </c>
      <c r="P823" s="79" t="s">
        <v>216</v>
      </c>
    </row>
    <row r="824">
      <c r="J824" s="79" t="s">
        <v>1147</v>
      </c>
      <c r="K824" t="str">
        <f>J53</f>
        <v>S1a1b1d2b2~</v>
      </c>
      <c r="N824" s="79">
        <v>2.182218E7</v>
      </c>
      <c r="O824" s="79">
        <v>1.9660294E7</v>
      </c>
      <c r="P824" s="79" t="s">
        <v>221</v>
      </c>
    </row>
    <row r="825">
      <c r="J825" s="79" t="s">
        <v>1148</v>
      </c>
      <c r="K825" t="str">
        <f>J53</f>
        <v>S1a1b1d2b2~</v>
      </c>
      <c r="N825" s="79">
        <v>2.1906411E7</v>
      </c>
      <c r="O825" s="79">
        <v>1.9744525E7</v>
      </c>
      <c r="P825" s="79" t="s">
        <v>221</v>
      </c>
    </row>
    <row r="826">
      <c r="J826" s="79" t="s">
        <v>1149</v>
      </c>
      <c r="K826" t="str">
        <f>J53</f>
        <v>S1a1b1d2b2~</v>
      </c>
      <c r="N826" s="79">
        <v>2.1961983E7</v>
      </c>
      <c r="O826" s="79">
        <v>1.9800097E7</v>
      </c>
      <c r="P826" s="79" t="s">
        <v>219</v>
      </c>
    </row>
    <row r="827">
      <c r="J827" s="79" t="s">
        <v>1150</v>
      </c>
      <c r="K827" t="str">
        <f>J53</f>
        <v>S1a1b1d2b2~</v>
      </c>
      <c r="N827" s="79">
        <v>2.1993714E7</v>
      </c>
      <c r="O827" s="79">
        <v>1.9831828E7</v>
      </c>
      <c r="P827" s="79" t="s">
        <v>219</v>
      </c>
    </row>
    <row r="828">
      <c r="J828" s="79" t="s">
        <v>1151</v>
      </c>
      <c r="K828" t="str">
        <f>J53</f>
        <v>S1a1b1d2b2~</v>
      </c>
      <c r="N828" s="79">
        <v>2.2190289E7</v>
      </c>
      <c r="O828" s="79">
        <v>2.0028403E7</v>
      </c>
      <c r="P828" s="79" t="s">
        <v>302</v>
      </c>
    </row>
    <row r="829">
      <c r="J829" s="79" t="s">
        <v>1152</v>
      </c>
      <c r="K829" t="str">
        <f>J53</f>
        <v>S1a1b1d2b2~</v>
      </c>
      <c r="N829" s="79">
        <v>2.2529518E7</v>
      </c>
      <c r="O829" s="79">
        <v>2.0367632E7</v>
      </c>
      <c r="P829" s="79" t="s">
        <v>229</v>
      </c>
    </row>
    <row r="830">
      <c r="J830" s="79" t="s">
        <v>1153</v>
      </c>
      <c r="K830" t="str">
        <f>J53</f>
        <v>S1a1b1d2b2~</v>
      </c>
      <c r="N830" s="79">
        <v>2.2742657E7</v>
      </c>
      <c r="O830" s="79">
        <v>2.0580771E7</v>
      </c>
      <c r="P830" s="79" t="s">
        <v>216</v>
      </c>
    </row>
    <row r="831">
      <c r="J831" s="79" t="s">
        <v>1154</v>
      </c>
      <c r="K831" t="str">
        <f>J53</f>
        <v>S1a1b1d2b2~</v>
      </c>
      <c r="N831" s="79">
        <v>2.2834278E7</v>
      </c>
      <c r="O831" s="79">
        <v>2.0672392E7</v>
      </c>
      <c r="P831" s="79" t="s">
        <v>221</v>
      </c>
    </row>
    <row r="832">
      <c r="J832" s="79" t="s">
        <v>1155</v>
      </c>
      <c r="K832" t="str">
        <f>J53</f>
        <v>S1a1b1d2b2~</v>
      </c>
      <c r="N832" s="79">
        <v>2.2993465E7</v>
      </c>
      <c r="O832" s="79">
        <v>2.0831579E7</v>
      </c>
      <c r="P832" s="79" t="s">
        <v>242</v>
      </c>
    </row>
    <row r="833">
      <c r="J833" s="79" t="s">
        <v>1156</v>
      </c>
      <c r="K833" t="str">
        <f>J53</f>
        <v>S1a1b1d2b2~</v>
      </c>
      <c r="N833" s="79">
        <v>2.3023871E7</v>
      </c>
      <c r="O833" s="79">
        <v>2.0861985E7</v>
      </c>
      <c r="P833" s="79" t="s">
        <v>232</v>
      </c>
    </row>
    <row r="834">
      <c r="J834" s="79" t="s">
        <v>1157</v>
      </c>
      <c r="K834" t="str">
        <f>J53</f>
        <v>S1a1b1d2b2~</v>
      </c>
      <c r="N834" s="79">
        <v>2.3054371E7</v>
      </c>
      <c r="O834" s="79">
        <v>2.0892485E7</v>
      </c>
      <c r="P834" s="79" t="s">
        <v>229</v>
      </c>
    </row>
    <row r="835">
      <c r="J835" s="79" t="s">
        <v>1158</v>
      </c>
      <c r="K835" t="str">
        <f>J53</f>
        <v>S1a1b1d2b2~</v>
      </c>
      <c r="N835" s="79">
        <v>2.3128936E7</v>
      </c>
      <c r="O835" s="79">
        <v>2.096705E7</v>
      </c>
      <c r="P835" s="79" t="s">
        <v>224</v>
      </c>
    </row>
    <row r="836">
      <c r="J836" s="79" t="s">
        <v>1159</v>
      </c>
      <c r="K836" t="str">
        <f>J53</f>
        <v>S1a1b1d2b2~</v>
      </c>
      <c r="N836" s="79">
        <v>2.3131717E7</v>
      </c>
      <c r="O836" s="79">
        <v>2.0969831E7</v>
      </c>
      <c r="P836" s="79" t="s">
        <v>221</v>
      </c>
    </row>
    <row r="837">
      <c r="J837" s="79" t="s">
        <v>1160</v>
      </c>
      <c r="K837" t="str">
        <f>J53</f>
        <v>S1a1b1d2b2~</v>
      </c>
      <c r="N837" s="79">
        <v>2.3363716E7</v>
      </c>
      <c r="O837" s="79">
        <v>2.120183E7</v>
      </c>
      <c r="P837" s="79" t="s">
        <v>219</v>
      </c>
    </row>
    <row r="838">
      <c r="J838" s="79" t="s">
        <v>1161</v>
      </c>
      <c r="K838" t="str">
        <f>J53</f>
        <v>S1a1b1d2b2~</v>
      </c>
      <c r="N838" s="79">
        <v>2.3472259E7</v>
      </c>
      <c r="O838" s="79">
        <v>2.1310373E7</v>
      </c>
      <c r="P838" s="79" t="s">
        <v>221</v>
      </c>
    </row>
    <row r="839">
      <c r="J839" s="79" t="s">
        <v>1162</v>
      </c>
      <c r="K839" t="str">
        <f>J53</f>
        <v>S1a1b1d2b2~</v>
      </c>
      <c r="N839" s="79">
        <v>2.3627402E7</v>
      </c>
      <c r="O839" s="79">
        <v>2.1465516E7</v>
      </c>
      <c r="P839" s="79" t="s">
        <v>219</v>
      </c>
    </row>
    <row r="840">
      <c r="J840" s="79" t="s">
        <v>1163</v>
      </c>
      <c r="K840" t="str">
        <f>J53</f>
        <v>S1a1b1d2b2~</v>
      </c>
      <c r="N840" s="79">
        <v>2.3795429E7</v>
      </c>
      <c r="O840" s="79">
        <v>2.1633543E7</v>
      </c>
      <c r="P840" s="79" t="s">
        <v>235</v>
      </c>
    </row>
    <row r="841">
      <c r="J841" s="79" t="s">
        <v>1164</v>
      </c>
      <c r="K841" t="str">
        <f>J53</f>
        <v>S1a1b1d2b2~</v>
      </c>
      <c r="N841" s="79">
        <v>2.3820353E7</v>
      </c>
      <c r="O841" s="79">
        <v>2.1658467E7</v>
      </c>
      <c r="P841" s="79" t="s">
        <v>221</v>
      </c>
    </row>
    <row r="842">
      <c r="J842" s="79" t="s">
        <v>1165</v>
      </c>
      <c r="K842" t="str">
        <f>J53</f>
        <v>S1a1b1d2b2~</v>
      </c>
      <c r="N842" s="79">
        <v>2.8520354E7</v>
      </c>
      <c r="O842" s="79">
        <v>2.6374207E7</v>
      </c>
      <c r="P842" s="79" t="s">
        <v>283</v>
      </c>
    </row>
    <row r="843">
      <c r="J843" s="79" t="s">
        <v>1166</v>
      </c>
      <c r="K843" t="str">
        <f>J53</f>
        <v>S1a1b1d2b2~</v>
      </c>
      <c r="N843" s="79">
        <v>2.852419E7</v>
      </c>
      <c r="O843" s="79">
        <v>2.6378043E7</v>
      </c>
      <c r="P843" s="79" t="s">
        <v>285</v>
      </c>
    </row>
    <row r="844">
      <c r="J844" s="79" t="s">
        <v>1167</v>
      </c>
      <c r="K844" t="str">
        <f>J53</f>
        <v>S1a1b1d2b2~</v>
      </c>
      <c r="N844" s="79">
        <v>2.8693602E7</v>
      </c>
      <c r="O844" s="79">
        <v>2.6547455E7</v>
      </c>
      <c r="P844" s="79" t="s">
        <v>242</v>
      </c>
    </row>
    <row r="845">
      <c r="J845" s="79" t="s">
        <v>1168</v>
      </c>
      <c r="K845" t="str">
        <f>J53</f>
        <v>S1a1b1d2b2~</v>
      </c>
      <c r="N845" s="79">
        <v>2.8693603E7</v>
      </c>
      <c r="O845" s="79">
        <v>2.6547456E7</v>
      </c>
      <c r="P845" s="79" t="s">
        <v>221</v>
      </c>
    </row>
    <row r="846">
      <c r="J846" s="79" t="s">
        <v>1169</v>
      </c>
      <c r="K846" t="str">
        <f>J53</f>
        <v>S1a1b1d2b2~</v>
      </c>
      <c r="N846" s="79">
        <v>2.8699817E7</v>
      </c>
      <c r="O846" s="79">
        <v>2.655367E7</v>
      </c>
      <c r="P846" s="79" t="s">
        <v>224</v>
      </c>
    </row>
    <row r="847">
      <c r="J847" s="79" t="s">
        <v>1170</v>
      </c>
      <c r="K847" t="str">
        <f>J53</f>
        <v>S1a1b1d2b2~</v>
      </c>
      <c r="M847" s="79" t="s">
        <v>1171</v>
      </c>
      <c r="N847" s="79">
        <v>7231034.0</v>
      </c>
      <c r="O847" s="79">
        <v>7362993.0</v>
      </c>
      <c r="P847" s="79" t="s">
        <v>221</v>
      </c>
    </row>
    <row r="848">
      <c r="J848" s="79" t="s">
        <v>1172</v>
      </c>
      <c r="K848" t="str">
        <f>J53</f>
        <v>S1a1b1d2b2~</v>
      </c>
      <c r="M848" s="79" t="s">
        <v>1173</v>
      </c>
      <c r="N848" s="79">
        <v>2.2766548E7</v>
      </c>
      <c r="O848" s="79">
        <v>2.0604662E7</v>
      </c>
      <c r="P848" s="79" t="s">
        <v>285</v>
      </c>
    </row>
    <row r="849">
      <c r="J849" s="79" t="s">
        <v>1174</v>
      </c>
      <c r="K849" t="str">
        <f>J53</f>
        <v>S1a1b1d2b2~</v>
      </c>
      <c r="N849" s="79">
        <v>1.5650122E7</v>
      </c>
      <c r="O849" s="79">
        <v>1.3538242E7</v>
      </c>
      <c r="P849" s="79" t="s">
        <v>221</v>
      </c>
    </row>
    <row r="850">
      <c r="J850" s="79" t="s">
        <v>1175</v>
      </c>
      <c r="K850" t="str">
        <f>J53</f>
        <v>S1a1b1d2b2~</v>
      </c>
      <c r="M850" s="79" t="s">
        <v>1176</v>
      </c>
      <c r="N850" s="79">
        <v>1.8704818E7</v>
      </c>
      <c r="O850" s="79">
        <v>1.6592938E7</v>
      </c>
      <c r="P850" s="79" t="s">
        <v>221</v>
      </c>
    </row>
    <row r="851">
      <c r="J851" s="79" t="s">
        <v>1177</v>
      </c>
      <c r="K851" t="str">
        <f>J53</f>
        <v>S1a1b1d2b2~</v>
      </c>
      <c r="M851" s="79" t="s">
        <v>1178</v>
      </c>
      <c r="N851" s="79">
        <v>1.385122E7</v>
      </c>
      <c r="O851" s="79">
        <v>1.1730514E7</v>
      </c>
      <c r="P851" s="79" t="s">
        <v>302</v>
      </c>
    </row>
    <row r="852">
      <c r="J852" s="79" t="s">
        <v>1179</v>
      </c>
      <c r="K852" t="str">
        <f>J53</f>
        <v>S1a1b1d2b2~</v>
      </c>
      <c r="M852" s="79" t="s">
        <v>1180</v>
      </c>
      <c r="N852" s="79">
        <v>1.662762E7</v>
      </c>
      <c r="O852" s="79">
        <v>1.451574E7</v>
      </c>
      <c r="P852" s="79" t="s">
        <v>219</v>
      </c>
    </row>
    <row r="853">
      <c r="J853" s="79" t="s">
        <v>1181</v>
      </c>
      <c r="K853" t="str">
        <f>J53</f>
        <v>S1a1b1d2b2~</v>
      </c>
      <c r="N853" s="79">
        <v>1.8045927E7</v>
      </c>
      <c r="O853" s="79">
        <v>1.5934047E7</v>
      </c>
      <c r="P853" s="79" t="s">
        <v>221</v>
      </c>
    </row>
    <row r="854">
      <c r="J854" s="79" t="s">
        <v>1182</v>
      </c>
      <c r="K854" t="str">
        <f>J53</f>
        <v>S1a1b1d2b2~</v>
      </c>
      <c r="M854" s="79" t="s">
        <v>1183</v>
      </c>
      <c r="N854" s="79">
        <v>2.2125092E7</v>
      </c>
      <c r="O854" s="79">
        <v>1.9963206E7</v>
      </c>
      <c r="P854" s="79" t="s">
        <v>221</v>
      </c>
    </row>
    <row r="855">
      <c r="J855" s="79" t="s">
        <v>1184</v>
      </c>
      <c r="K855" s="79" t="str">
        <f>D54</f>
        <v>S1a2</v>
      </c>
      <c r="N855">
        <v>6702196.0</v>
      </c>
      <c r="O855">
        <v>6834155.0</v>
      </c>
      <c r="P855" t="s">
        <v>255</v>
      </c>
    </row>
    <row r="856">
      <c r="J856" s="79" t="s">
        <v>1185</v>
      </c>
      <c r="K856" t="str">
        <f>D54</f>
        <v>S1a2</v>
      </c>
      <c r="M856" s="79" t="s">
        <v>1186</v>
      </c>
      <c r="N856">
        <v>1.5888442E7</v>
      </c>
      <c r="O856">
        <v>1.3776562E7</v>
      </c>
      <c r="P856" t="s">
        <v>232</v>
      </c>
    </row>
    <row r="857">
      <c r="J857" s="79" t="s">
        <v>1187</v>
      </c>
      <c r="K857" t="str">
        <f>D54</f>
        <v>S1a2</v>
      </c>
      <c r="N857">
        <v>6703551.0</v>
      </c>
      <c r="O857">
        <v>6835510.0</v>
      </c>
      <c r="P857" t="s">
        <v>232</v>
      </c>
    </row>
    <row r="858">
      <c r="J858" s="79" t="s">
        <v>1188</v>
      </c>
      <c r="K858" t="str">
        <f>D54</f>
        <v>S1a2</v>
      </c>
      <c r="N858">
        <v>6925749.0</v>
      </c>
      <c r="O858">
        <v>7057708.0</v>
      </c>
      <c r="P858" t="s">
        <v>221</v>
      </c>
    </row>
    <row r="859">
      <c r="J859" s="79" t="s">
        <v>1189</v>
      </c>
      <c r="K859" t="str">
        <f>D54</f>
        <v>S1a2</v>
      </c>
      <c r="N859">
        <v>6986814.0</v>
      </c>
      <c r="O859">
        <v>7118773.0</v>
      </c>
      <c r="P859" t="s">
        <v>232</v>
      </c>
    </row>
    <row r="860">
      <c r="J860" s="79" t="s">
        <v>1190</v>
      </c>
      <c r="K860" t="str">
        <f>D54</f>
        <v>S1a2</v>
      </c>
      <c r="N860">
        <v>7403268.0</v>
      </c>
      <c r="O860">
        <v>7535227.0</v>
      </c>
      <c r="P860" t="s">
        <v>219</v>
      </c>
    </row>
    <row r="861">
      <c r="J861" s="79" t="s">
        <v>1191</v>
      </c>
      <c r="K861" t="str">
        <f>D54</f>
        <v>S1a2</v>
      </c>
      <c r="N861">
        <v>7523978.0</v>
      </c>
      <c r="O861">
        <v>7655937.0</v>
      </c>
      <c r="P861" t="s">
        <v>221</v>
      </c>
    </row>
    <row r="862">
      <c r="J862" s="79" t="s">
        <v>1192</v>
      </c>
      <c r="K862" t="str">
        <f>D54</f>
        <v>S1a2</v>
      </c>
      <c r="N862">
        <v>7624254.0</v>
      </c>
      <c r="O862">
        <v>7756213.0</v>
      </c>
      <c r="P862" t="s">
        <v>221</v>
      </c>
    </row>
    <row r="863">
      <c r="J863" s="79" t="s">
        <v>1193</v>
      </c>
      <c r="K863" t="str">
        <f>D54</f>
        <v>S1a2</v>
      </c>
      <c r="M863" s="79" t="s">
        <v>1194</v>
      </c>
      <c r="N863">
        <v>7644086.0</v>
      </c>
      <c r="O863">
        <v>7776045.0</v>
      </c>
      <c r="P863" t="s">
        <v>221</v>
      </c>
    </row>
    <row r="864">
      <c r="J864" s="79" t="s">
        <v>1195</v>
      </c>
      <c r="K864" t="str">
        <f>D54</f>
        <v>S1a2</v>
      </c>
      <c r="N864">
        <v>7893880.0</v>
      </c>
      <c r="O864">
        <v>8025839.0</v>
      </c>
      <c r="P864" t="s">
        <v>216</v>
      </c>
    </row>
    <row r="865">
      <c r="J865" s="79" t="s">
        <v>1196</v>
      </c>
      <c r="K865" t="str">
        <f>D54</f>
        <v>S1a2</v>
      </c>
      <c r="N865">
        <v>8105098.0</v>
      </c>
      <c r="O865">
        <v>8237057.0</v>
      </c>
      <c r="P865" t="s">
        <v>283</v>
      </c>
    </row>
    <row r="866">
      <c r="J866" s="79" t="s">
        <v>1197</v>
      </c>
      <c r="K866" t="str">
        <f>D54</f>
        <v>S1a2</v>
      </c>
      <c r="N866">
        <v>8168098.0</v>
      </c>
      <c r="O866">
        <v>8300057.0</v>
      </c>
      <c r="P866" t="s">
        <v>219</v>
      </c>
    </row>
    <row r="867">
      <c r="J867" s="79" t="s">
        <v>1198</v>
      </c>
      <c r="K867" t="str">
        <f>D54</f>
        <v>S1a2</v>
      </c>
      <c r="N867">
        <v>8269238.0</v>
      </c>
      <c r="O867">
        <v>8401197.0</v>
      </c>
      <c r="P867" t="s">
        <v>224</v>
      </c>
    </row>
    <row r="868">
      <c r="J868" s="79" t="s">
        <v>1199</v>
      </c>
      <c r="K868" t="str">
        <f>D54</f>
        <v>S1a2</v>
      </c>
      <c r="N868">
        <v>8448018.0</v>
      </c>
      <c r="O868">
        <v>8579977.0</v>
      </c>
      <c r="P868" t="s">
        <v>255</v>
      </c>
    </row>
    <row r="869">
      <c r="J869" s="79" t="s">
        <v>1200</v>
      </c>
      <c r="K869" t="str">
        <f>D54</f>
        <v>S1a2</v>
      </c>
      <c r="N869">
        <v>8599563.0</v>
      </c>
      <c r="O869">
        <v>8731522.0</v>
      </c>
      <c r="P869" t="s">
        <v>221</v>
      </c>
    </row>
    <row r="870">
      <c r="J870" s="79" t="s">
        <v>1201</v>
      </c>
      <c r="K870" t="str">
        <f>D54</f>
        <v>S1a2</v>
      </c>
      <c r="N870">
        <v>8665944.0</v>
      </c>
      <c r="O870">
        <v>8797903.0</v>
      </c>
      <c r="P870" t="s">
        <v>283</v>
      </c>
    </row>
    <row r="871">
      <c r="J871" s="79" t="s">
        <v>1202</v>
      </c>
      <c r="K871" t="str">
        <f>D54</f>
        <v>S1a2</v>
      </c>
      <c r="N871">
        <v>8846141.0</v>
      </c>
      <c r="O871">
        <v>8978100.0</v>
      </c>
      <c r="P871" t="s">
        <v>242</v>
      </c>
    </row>
    <row r="872">
      <c r="J872" s="79" t="s">
        <v>1203</v>
      </c>
      <c r="K872" t="str">
        <f>D54</f>
        <v>S1a2</v>
      </c>
      <c r="N872">
        <v>1.4013576E7</v>
      </c>
      <c r="O872">
        <v>1.189287E7</v>
      </c>
      <c r="P872" t="s">
        <v>232</v>
      </c>
    </row>
    <row r="873">
      <c r="J873" s="79" t="s">
        <v>1204</v>
      </c>
      <c r="K873" t="str">
        <f>D54</f>
        <v>S1a2</v>
      </c>
      <c r="N873">
        <v>1.4039306E7</v>
      </c>
      <c r="O873">
        <v>1.19186E7</v>
      </c>
      <c r="P873" t="s">
        <v>219</v>
      </c>
    </row>
    <row r="874">
      <c r="J874" s="79" t="s">
        <v>1205</v>
      </c>
      <c r="K874" t="str">
        <f>D54</f>
        <v>S1a2</v>
      </c>
      <c r="N874">
        <v>1.4085066E7</v>
      </c>
      <c r="O874">
        <v>1.196436E7</v>
      </c>
      <c r="P874" t="s">
        <v>221</v>
      </c>
    </row>
    <row r="875">
      <c r="J875" s="79" t="s">
        <v>1206</v>
      </c>
      <c r="K875" t="str">
        <f>D54</f>
        <v>S1a2</v>
      </c>
      <c r="N875">
        <v>1.4158787E7</v>
      </c>
      <c r="O875">
        <v>1.2038081E7</v>
      </c>
      <c r="P875" t="s">
        <v>232</v>
      </c>
    </row>
    <row r="876">
      <c r="J876" s="79" t="s">
        <v>1207</v>
      </c>
      <c r="K876" t="str">
        <f>D54</f>
        <v>S1a2</v>
      </c>
      <c r="N876">
        <v>1.4199878E7</v>
      </c>
      <c r="O876">
        <v>1.2079172E7</v>
      </c>
      <c r="P876" t="s">
        <v>242</v>
      </c>
    </row>
    <row r="877">
      <c r="J877" s="79" t="s">
        <v>1208</v>
      </c>
      <c r="K877" t="str">
        <f>D54</f>
        <v>S1a2</v>
      </c>
      <c r="N877">
        <v>1.447407E7</v>
      </c>
      <c r="O877">
        <v>1.2353339E7</v>
      </c>
      <c r="P877" t="s">
        <v>219</v>
      </c>
    </row>
    <row r="878">
      <c r="J878" s="79" t="s">
        <v>1209</v>
      </c>
      <c r="K878" t="str">
        <f>D54</f>
        <v>S1a2</v>
      </c>
      <c r="N878">
        <v>1.4879612E7</v>
      </c>
      <c r="O878">
        <v>1.2767682E7</v>
      </c>
      <c r="P878" t="s">
        <v>232</v>
      </c>
    </row>
    <row r="879">
      <c r="J879" s="79" t="s">
        <v>1210</v>
      </c>
      <c r="K879" t="str">
        <f>D54</f>
        <v>S1a2</v>
      </c>
      <c r="N879">
        <v>1.4947645E7</v>
      </c>
      <c r="O879">
        <v>1.2835719E7</v>
      </c>
      <c r="P879" t="s">
        <v>232</v>
      </c>
    </row>
    <row r="880">
      <c r="J880" s="79" t="s">
        <v>1211</v>
      </c>
      <c r="K880" t="str">
        <f>D54</f>
        <v>S1a2</v>
      </c>
      <c r="N880">
        <v>1.5283002E7</v>
      </c>
      <c r="O880">
        <v>1.3171101E7</v>
      </c>
      <c r="P880" t="s">
        <v>219</v>
      </c>
    </row>
    <row r="881">
      <c r="J881" s="79" t="s">
        <v>1212</v>
      </c>
      <c r="K881" t="str">
        <f>D54</f>
        <v>S1a2</v>
      </c>
      <c r="N881">
        <v>1.5434297E7</v>
      </c>
      <c r="O881">
        <v>1.3322417E7</v>
      </c>
      <c r="P881" t="s">
        <v>221</v>
      </c>
    </row>
    <row r="882">
      <c r="J882" s="79" t="s">
        <v>1213</v>
      </c>
      <c r="K882" t="str">
        <f>D54</f>
        <v>S1a2</v>
      </c>
      <c r="N882">
        <v>1.5632653E7</v>
      </c>
      <c r="O882">
        <v>1.3520773E7</v>
      </c>
      <c r="P882" t="s">
        <v>242</v>
      </c>
    </row>
    <row r="883">
      <c r="J883" s="79" t="s">
        <v>1214</v>
      </c>
      <c r="K883" t="str">
        <f>D54</f>
        <v>S1a2</v>
      </c>
      <c r="N883">
        <v>1.5634141E7</v>
      </c>
      <c r="O883">
        <v>1.3522261E7</v>
      </c>
      <c r="P883" t="s">
        <v>255</v>
      </c>
    </row>
    <row r="884">
      <c r="J884" s="79" t="s">
        <v>1215</v>
      </c>
      <c r="K884" t="str">
        <f>D54</f>
        <v>S1a2</v>
      </c>
      <c r="N884">
        <v>1.5739465E7</v>
      </c>
      <c r="O884">
        <v>1.3627585E7</v>
      </c>
      <c r="P884" t="s">
        <v>255</v>
      </c>
    </row>
    <row r="885">
      <c r="J885" s="79" t="s">
        <v>1216</v>
      </c>
      <c r="K885" t="str">
        <f>D54</f>
        <v>S1a2</v>
      </c>
      <c r="N885">
        <v>1.5832485E7</v>
      </c>
      <c r="O885">
        <v>1.3720605E7</v>
      </c>
      <c r="P885" t="s">
        <v>229</v>
      </c>
    </row>
    <row r="886">
      <c r="J886" s="79" t="s">
        <v>1217</v>
      </c>
      <c r="K886" t="str">
        <f>D54</f>
        <v>S1a2</v>
      </c>
      <c r="N886">
        <v>1.5847747E7</v>
      </c>
      <c r="O886">
        <v>1.3735867E7</v>
      </c>
      <c r="P886" t="s">
        <v>232</v>
      </c>
    </row>
    <row r="887">
      <c r="J887" s="79" t="s">
        <v>1218</v>
      </c>
      <c r="K887" t="str">
        <f>D54</f>
        <v>S1a2</v>
      </c>
      <c r="N887">
        <v>1.5859954E7</v>
      </c>
      <c r="O887">
        <v>1.3748074E7</v>
      </c>
      <c r="P887" t="s">
        <v>229</v>
      </c>
    </row>
    <row r="888">
      <c r="J888" s="79" t="s">
        <v>1219</v>
      </c>
      <c r="K888" t="str">
        <f>D54</f>
        <v>S1a2</v>
      </c>
      <c r="N888">
        <v>1.5953706E7</v>
      </c>
      <c r="O888">
        <v>1.3841826E7</v>
      </c>
      <c r="P888" t="s">
        <v>221</v>
      </c>
    </row>
    <row r="889">
      <c r="J889" s="79" t="s">
        <v>1220</v>
      </c>
      <c r="K889" t="str">
        <f>D54</f>
        <v>S1a2</v>
      </c>
      <c r="N889">
        <v>1.5991566E7</v>
      </c>
      <c r="O889">
        <v>1.3879686E7</v>
      </c>
      <c r="P889" t="s">
        <v>219</v>
      </c>
    </row>
    <row r="890">
      <c r="J890" s="79" t="s">
        <v>1221</v>
      </c>
      <c r="K890" t="str">
        <f>D54</f>
        <v>S1a2</v>
      </c>
      <c r="N890">
        <v>1.5997896E7</v>
      </c>
      <c r="O890">
        <v>1.3886016E7</v>
      </c>
      <c r="P890" t="s">
        <v>216</v>
      </c>
    </row>
    <row r="891">
      <c r="J891" s="79" t="s">
        <v>1222</v>
      </c>
      <c r="K891" t="str">
        <f>D54</f>
        <v>S1a2</v>
      </c>
      <c r="N891">
        <v>1.6270416E7</v>
      </c>
      <c r="O891">
        <v>1.4158536E7</v>
      </c>
      <c r="P891" t="s">
        <v>232</v>
      </c>
    </row>
    <row r="892">
      <c r="J892" s="79" t="s">
        <v>1223</v>
      </c>
      <c r="K892" t="str">
        <f>D54</f>
        <v>S1a2</v>
      </c>
      <c r="N892">
        <v>1.6492912E7</v>
      </c>
      <c r="O892">
        <v>1.4381032E7</v>
      </c>
      <c r="P892" t="s">
        <v>219</v>
      </c>
    </row>
    <row r="893">
      <c r="J893" s="79" t="s">
        <v>1224</v>
      </c>
      <c r="K893" t="str">
        <f>D54</f>
        <v>S1a2</v>
      </c>
      <c r="N893">
        <v>1.656477E7</v>
      </c>
      <c r="O893">
        <v>1.445289E7</v>
      </c>
      <c r="P893" t="s">
        <v>221</v>
      </c>
    </row>
    <row r="894">
      <c r="J894" s="79" t="s">
        <v>1225</v>
      </c>
      <c r="K894" t="str">
        <f>D54</f>
        <v>S1a2</v>
      </c>
      <c r="N894">
        <v>1.6568185E7</v>
      </c>
      <c r="O894">
        <v>1.4456305E7</v>
      </c>
      <c r="P894" t="s">
        <v>229</v>
      </c>
    </row>
    <row r="895">
      <c r="J895" s="79" t="s">
        <v>1226</v>
      </c>
      <c r="K895" t="str">
        <f>D54</f>
        <v>S1a2</v>
      </c>
      <c r="N895">
        <v>1.6579648E7</v>
      </c>
      <c r="O895">
        <v>1.4467768E7</v>
      </c>
      <c r="P895" t="s">
        <v>242</v>
      </c>
    </row>
    <row r="896">
      <c r="J896" s="79" t="s">
        <v>1227</v>
      </c>
      <c r="K896" t="str">
        <f>D54</f>
        <v>S1a2</v>
      </c>
      <c r="N896">
        <v>1.6758684E7</v>
      </c>
      <c r="O896">
        <v>1.4646804E7</v>
      </c>
      <c r="P896" t="s">
        <v>219</v>
      </c>
    </row>
    <row r="897">
      <c r="J897" s="79" t="s">
        <v>1228</v>
      </c>
      <c r="K897" t="str">
        <f>D54</f>
        <v>S1a2</v>
      </c>
      <c r="N897">
        <v>1.6807714E7</v>
      </c>
      <c r="O897">
        <v>1.4695834E7</v>
      </c>
      <c r="P897" t="s">
        <v>232</v>
      </c>
    </row>
    <row r="898">
      <c r="J898" s="79" t="s">
        <v>1229</v>
      </c>
      <c r="K898" t="str">
        <f>D54</f>
        <v>S1a2</v>
      </c>
      <c r="N898">
        <v>1.6882208E7</v>
      </c>
      <c r="O898">
        <v>1.4770328E7</v>
      </c>
      <c r="P898" t="s">
        <v>221</v>
      </c>
    </row>
    <row r="899">
      <c r="J899" s="79" t="s">
        <v>1230</v>
      </c>
      <c r="K899" t="str">
        <f>D54</f>
        <v>S1a2</v>
      </c>
      <c r="N899">
        <v>1.7195491E7</v>
      </c>
      <c r="O899">
        <v>1.5083611E7</v>
      </c>
      <c r="P899" t="s">
        <v>219</v>
      </c>
    </row>
    <row r="900">
      <c r="J900" s="79" t="s">
        <v>1231</v>
      </c>
      <c r="K900" t="str">
        <f>D54</f>
        <v>S1a2</v>
      </c>
      <c r="N900">
        <v>1.7224037E7</v>
      </c>
      <c r="O900">
        <v>1.5112157E7</v>
      </c>
      <c r="P900" t="s">
        <v>229</v>
      </c>
    </row>
    <row r="901">
      <c r="J901" s="79" t="s">
        <v>1232</v>
      </c>
      <c r="K901" t="str">
        <f>D54</f>
        <v>S1a2</v>
      </c>
      <c r="N901">
        <v>1.7339258E7</v>
      </c>
      <c r="O901">
        <v>1.5227378E7</v>
      </c>
      <c r="P901" t="s">
        <v>283</v>
      </c>
    </row>
    <row r="902">
      <c r="J902" s="79" t="s">
        <v>1233</v>
      </c>
      <c r="K902" t="str">
        <f>D54</f>
        <v>S1a2</v>
      </c>
      <c r="M902" s="79" t="s">
        <v>1234</v>
      </c>
      <c r="N902">
        <v>1.7372244E7</v>
      </c>
      <c r="O902">
        <v>1.5260364E7</v>
      </c>
      <c r="P902" t="s">
        <v>232</v>
      </c>
    </row>
    <row r="903">
      <c r="J903" s="79" t="s">
        <v>1235</v>
      </c>
      <c r="K903" t="str">
        <f>D54</f>
        <v>S1a2</v>
      </c>
      <c r="N903">
        <v>1.7383153E7</v>
      </c>
      <c r="O903">
        <v>1.5271273E7</v>
      </c>
      <c r="P903" t="s">
        <v>255</v>
      </c>
    </row>
    <row r="904">
      <c r="J904" s="79" t="s">
        <v>1236</v>
      </c>
      <c r="K904" t="str">
        <f>D54</f>
        <v>S1a2</v>
      </c>
      <c r="N904">
        <v>1.7561404E7</v>
      </c>
      <c r="O904">
        <v>1.5449524E7</v>
      </c>
      <c r="P904" t="s">
        <v>232</v>
      </c>
    </row>
    <row r="905">
      <c r="J905" s="79" t="s">
        <v>1237</v>
      </c>
      <c r="K905" t="str">
        <f>D54</f>
        <v>S1a2</v>
      </c>
      <c r="N905">
        <v>1.771106E7</v>
      </c>
      <c r="O905">
        <v>1.559918E7</v>
      </c>
      <c r="P905" t="s">
        <v>255</v>
      </c>
    </row>
    <row r="906">
      <c r="J906" s="79" t="s">
        <v>1238</v>
      </c>
      <c r="K906" t="str">
        <f>D54</f>
        <v>S1a2</v>
      </c>
      <c r="N906">
        <v>1.7883147E7</v>
      </c>
      <c r="O906">
        <v>1.5771267E7</v>
      </c>
      <c r="P906" t="s">
        <v>219</v>
      </c>
    </row>
    <row r="907">
      <c r="J907" s="79" t="s">
        <v>1239</v>
      </c>
      <c r="K907" t="str">
        <f>D54</f>
        <v>S1a2</v>
      </c>
      <c r="N907">
        <v>1.8117779E7</v>
      </c>
      <c r="O907">
        <v>1.6005899E7</v>
      </c>
      <c r="P907" t="s">
        <v>219</v>
      </c>
    </row>
    <row r="908">
      <c r="J908" s="79" t="s">
        <v>1240</v>
      </c>
      <c r="K908" t="str">
        <f>D54</f>
        <v>S1a2</v>
      </c>
      <c r="N908">
        <v>1.8252765E7</v>
      </c>
      <c r="O908">
        <v>1.6140885E7</v>
      </c>
      <c r="P908" t="s">
        <v>255</v>
      </c>
    </row>
    <row r="909">
      <c r="J909" s="79" t="s">
        <v>1241</v>
      </c>
      <c r="K909" t="str">
        <f>D54</f>
        <v>S1a2</v>
      </c>
      <c r="N909">
        <v>1.882407E7</v>
      </c>
      <c r="O909">
        <v>1.671219E7</v>
      </c>
      <c r="P909" t="s">
        <v>242</v>
      </c>
    </row>
    <row r="910">
      <c r="J910" s="79" t="s">
        <v>1242</v>
      </c>
      <c r="K910" t="str">
        <f>D54</f>
        <v>S1a2</v>
      </c>
      <c r="N910">
        <v>1.9226869E7</v>
      </c>
      <c r="O910">
        <v>1.7114989E7</v>
      </c>
      <c r="P910" t="s">
        <v>221</v>
      </c>
    </row>
    <row r="911">
      <c r="J911" s="79" t="s">
        <v>1243</v>
      </c>
      <c r="K911" t="str">
        <f>D54</f>
        <v>S1a2</v>
      </c>
      <c r="N911">
        <v>2.1067542E7</v>
      </c>
      <c r="O911">
        <v>1.8905656E7</v>
      </c>
      <c r="P911" t="s">
        <v>229</v>
      </c>
    </row>
    <row r="912">
      <c r="J912" s="79" t="s">
        <v>1244</v>
      </c>
      <c r="K912" t="str">
        <f>D54</f>
        <v>S1a2</v>
      </c>
      <c r="M912" s="79" t="s">
        <v>1245</v>
      </c>
      <c r="N912">
        <v>2.1080977E7</v>
      </c>
      <c r="O912">
        <v>1.8919091E7</v>
      </c>
      <c r="P912" t="s">
        <v>221</v>
      </c>
    </row>
    <row r="913">
      <c r="J913" s="79" t="s">
        <v>1246</v>
      </c>
      <c r="K913" t="str">
        <f>D54</f>
        <v>S1a2</v>
      </c>
      <c r="N913">
        <v>2.1239623E7</v>
      </c>
      <c r="O913">
        <v>1.9077737E7</v>
      </c>
      <c r="P913" t="s">
        <v>232</v>
      </c>
    </row>
    <row r="914">
      <c r="J914" s="79" t="s">
        <v>1247</v>
      </c>
      <c r="K914" t="str">
        <f>D54</f>
        <v>S1a2</v>
      </c>
      <c r="N914">
        <v>2.1281716E7</v>
      </c>
      <c r="O914">
        <v>1.911983E7</v>
      </c>
      <c r="P914" t="s">
        <v>219</v>
      </c>
    </row>
    <row r="915">
      <c r="J915" s="79" t="s">
        <v>1248</v>
      </c>
      <c r="K915" t="str">
        <f>D54</f>
        <v>S1a2</v>
      </c>
      <c r="N915">
        <v>2.134078E7</v>
      </c>
      <c r="O915">
        <v>1.9178894E7</v>
      </c>
      <c r="P915" t="s">
        <v>283</v>
      </c>
    </row>
    <row r="916">
      <c r="J916" s="79" t="s">
        <v>1249</v>
      </c>
      <c r="K916" t="str">
        <f>D54</f>
        <v>S1a2</v>
      </c>
      <c r="N916">
        <v>2.1516686E7</v>
      </c>
      <c r="O916">
        <v>1.93548E7</v>
      </c>
      <c r="P916" t="s">
        <v>216</v>
      </c>
    </row>
    <row r="917">
      <c r="J917" s="79" t="s">
        <v>1250</v>
      </c>
      <c r="K917" t="str">
        <f>D54</f>
        <v>S1a2</v>
      </c>
      <c r="M917" s="79" t="s">
        <v>1251</v>
      </c>
      <c r="N917">
        <v>2.151769E7</v>
      </c>
      <c r="O917">
        <v>1.9355804E7</v>
      </c>
      <c r="P917" t="s">
        <v>216</v>
      </c>
    </row>
    <row r="918">
      <c r="J918" s="79" t="s">
        <v>1252</v>
      </c>
      <c r="K918" t="str">
        <f>D54</f>
        <v>S1a2</v>
      </c>
      <c r="N918">
        <v>2.1736971E7</v>
      </c>
      <c r="O918">
        <v>1.9575085E7</v>
      </c>
      <c r="P918" t="s">
        <v>255</v>
      </c>
    </row>
    <row r="919">
      <c r="J919" s="79" t="s">
        <v>1253</v>
      </c>
      <c r="K919" t="str">
        <f>D54</f>
        <v>S1a2</v>
      </c>
      <c r="N919">
        <v>2.1927503E7</v>
      </c>
      <c r="O919">
        <v>1.9765617E7</v>
      </c>
      <c r="P919" t="s">
        <v>219</v>
      </c>
    </row>
    <row r="920">
      <c r="J920" s="79" t="s">
        <v>1254</v>
      </c>
      <c r="K920" t="str">
        <f>D54</f>
        <v>S1a2</v>
      </c>
      <c r="N920">
        <v>2.3258035E7</v>
      </c>
      <c r="O920">
        <v>2.1096149E7</v>
      </c>
      <c r="P920" t="s">
        <v>219</v>
      </c>
    </row>
    <row r="921">
      <c r="J921" s="79" t="s">
        <v>1255</v>
      </c>
      <c r="K921" t="str">
        <f>D54</f>
        <v>S1a2</v>
      </c>
      <c r="N921">
        <v>2.3427178E7</v>
      </c>
      <c r="O921">
        <v>2.1265292E7</v>
      </c>
      <c r="P921" t="s">
        <v>216</v>
      </c>
    </row>
    <row r="922">
      <c r="J922" s="79" t="s">
        <v>1256</v>
      </c>
      <c r="K922" t="str">
        <f>D54</f>
        <v>S1a2</v>
      </c>
      <c r="N922">
        <v>2.872211E7</v>
      </c>
      <c r="O922">
        <v>2.6575963E7</v>
      </c>
      <c r="P922" t="s">
        <v>219</v>
      </c>
    </row>
    <row r="923">
      <c r="J923" s="79" t="s">
        <v>1257</v>
      </c>
      <c r="K923" t="str">
        <f>D54</f>
        <v>S1a2</v>
      </c>
      <c r="M923" s="79" t="s">
        <v>1258</v>
      </c>
      <c r="N923">
        <v>2.8737364E7</v>
      </c>
      <c r="O923">
        <v>2.6591217E7</v>
      </c>
      <c r="P923" t="s">
        <v>232</v>
      </c>
    </row>
    <row r="924">
      <c r="J924" s="79" t="s">
        <v>1259</v>
      </c>
      <c r="K924" t="str">
        <f>E55</f>
        <v>S1a2a</v>
      </c>
      <c r="M924" t="s">
        <v>1260</v>
      </c>
      <c r="N924">
        <v>2661836.0</v>
      </c>
      <c r="O924">
        <v>2793795.0</v>
      </c>
      <c r="P924" t="s">
        <v>221</v>
      </c>
    </row>
    <row r="925">
      <c r="J925" s="79" t="s">
        <v>1261</v>
      </c>
      <c r="K925" t="str">
        <f>E55</f>
        <v>S1a2a</v>
      </c>
      <c r="L925" s="79" t="s">
        <v>1262</v>
      </c>
      <c r="M925" s="79" t="s">
        <v>1263</v>
      </c>
      <c r="N925" s="79">
        <v>2.2181198E7</v>
      </c>
      <c r="O925" s="79">
        <v>2.0019312E7</v>
      </c>
      <c r="P925" s="79" t="s">
        <v>232</v>
      </c>
    </row>
    <row r="926">
      <c r="J926" s="79" t="s">
        <v>1264</v>
      </c>
      <c r="K926" t="str">
        <f>E55</f>
        <v>S1a2a</v>
      </c>
      <c r="L926" s="79" t="s">
        <v>1265</v>
      </c>
      <c r="M926" s="79" t="s">
        <v>1263</v>
      </c>
      <c r="N926" s="79">
        <v>2.2181198E7</v>
      </c>
      <c r="O926" s="79">
        <v>2.0019312E7</v>
      </c>
      <c r="P926" s="79" t="s">
        <v>232</v>
      </c>
    </row>
    <row r="927">
      <c r="J927" s="79" t="s">
        <v>1266</v>
      </c>
      <c r="K927" t="str">
        <f>E55</f>
        <v>S1a2a</v>
      </c>
      <c r="L927" s="79" t="s">
        <v>1267</v>
      </c>
      <c r="M927" s="79" t="s">
        <v>1263</v>
      </c>
      <c r="N927" s="79">
        <v>2.2181198E7</v>
      </c>
      <c r="O927" s="79">
        <v>2.0019312E7</v>
      </c>
      <c r="P927" s="79" t="s">
        <v>232</v>
      </c>
    </row>
    <row r="928">
      <c r="J928" s="79" t="s">
        <v>1268</v>
      </c>
      <c r="K928" t="str">
        <f>E55</f>
        <v>S1a2a</v>
      </c>
      <c r="M928" s="79"/>
      <c r="N928" s="79">
        <v>9871770.0</v>
      </c>
      <c r="O928" s="79">
        <v>1.0034161E7</v>
      </c>
      <c r="P928" s="79" t="s">
        <v>232</v>
      </c>
    </row>
    <row r="929">
      <c r="J929" s="79" t="s">
        <v>1269</v>
      </c>
      <c r="K929" t="str">
        <f>E55</f>
        <v>S1a2a</v>
      </c>
      <c r="M929" s="79"/>
      <c r="N929" s="79">
        <v>8412498.0</v>
      </c>
      <c r="O929" s="79">
        <v>8544457.0</v>
      </c>
      <c r="P929" s="79" t="s">
        <v>302</v>
      </c>
    </row>
    <row r="930">
      <c r="J930" s="79" t="s">
        <v>1270</v>
      </c>
      <c r="K930" t="str">
        <f>E55</f>
        <v>S1a2a</v>
      </c>
      <c r="M930" s="79"/>
      <c r="N930" s="79">
        <v>1.3542982E7</v>
      </c>
      <c r="O930" s="79">
        <v>1.1387306E7</v>
      </c>
      <c r="P930" s="79" t="s">
        <v>221</v>
      </c>
    </row>
    <row r="931">
      <c r="J931" s="79" t="s">
        <v>1271</v>
      </c>
      <c r="K931" t="str">
        <f>E55</f>
        <v>S1a2a</v>
      </c>
      <c r="M931" s="79"/>
      <c r="N931" s="79">
        <v>1.3676467E7</v>
      </c>
      <c r="O931" s="79">
        <v>1.1520791E7</v>
      </c>
      <c r="P931" s="79" t="s">
        <v>235</v>
      </c>
    </row>
    <row r="932">
      <c r="J932" s="79" t="s">
        <v>1272</v>
      </c>
      <c r="K932" t="str">
        <f>E55</f>
        <v>S1a2a</v>
      </c>
      <c r="M932" s="79"/>
      <c r="N932" s="79">
        <v>1.3716789E7</v>
      </c>
      <c r="O932" s="79">
        <v>1.1561113E7</v>
      </c>
      <c r="P932" s="79" t="s">
        <v>232</v>
      </c>
    </row>
    <row r="933">
      <c r="J933" s="79" t="s">
        <v>1273</v>
      </c>
      <c r="K933" t="str">
        <f>E55</f>
        <v>S1a2a</v>
      </c>
      <c r="M933" s="79"/>
      <c r="N933" s="79">
        <v>1.4436394E7</v>
      </c>
      <c r="O933" s="79">
        <v>1.2315667E7</v>
      </c>
      <c r="P933" s="79" t="s">
        <v>302</v>
      </c>
    </row>
    <row r="934">
      <c r="J934" s="79" t="s">
        <v>1274</v>
      </c>
      <c r="K934" t="str">
        <f>E55</f>
        <v>S1a2a</v>
      </c>
      <c r="M934" s="79" t="s">
        <v>1275</v>
      </c>
      <c r="N934" s="79">
        <v>6874115.0</v>
      </c>
      <c r="O934" s="79">
        <v>7006074.0</v>
      </c>
      <c r="P934" s="79" t="s">
        <v>221</v>
      </c>
    </row>
    <row r="935">
      <c r="J935" s="79" t="s">
        <v>1276</v>
      </c>
      <c r="K935" t="str">
        <f>E55</f>
        <v>S1a2a</v>
      </c>
      <c r="M935" s="79" t="s">
        <v>1277</v>
      </c>
      <c r="N935" s="79">
        <v>1.5618816E7</v>
      </c>
      <c r="O935" s="79">
        <v>1.3506936E7</v>
      </c>
      <c r="P935" s="79" t="s">
        <v>219</v>
      </c>
    </row>
    <row r="936">
      <c r="J936" s="79" t="s">
        <v>1278</v>
      </c>
      <c r="K936" t="str">
        <f>E55</f>
        <v>S1a2a</v>
      </c>
      <c r="M936" s="79"/>
      <c r="N936" s="79">
        <v>5010345.0</v>
      </c>
      <c r="O936" s="79">
        <v>5142304.0</v>
      </c>
      <c r="P936" s="79" t="s">
        <v>285</v>
      </c>
    </row>
    <row r="937">
      <c r="J937" s="79" t="s">
        <v>1279</v>
      </c>
      <c r="K937" t="str">
        <f>E55</f>
        <v>S1a2a</v>
      </c>
      <c r="M937" s="79"/>
      <c r="N937" s="79">
        <v>2.8545271E7</v>
      </c>
      <c r="O937" s="79">
        <v>2.6399124E7</v>
      </c>
      <c r="P937" s="79" t="s">
        <v>221</v>
      </c>
    </row>
    <row r="938">
      <c r="J938" s="79" t="s">
        <v>1280</v>
      </c>
      <c r="K938" t="str">
        <f>E55</f>
        <v>S1a2a</v>
      </c>
      <c r="M938" s="79"/>
      <c r="N938" s="79">
        <v>1.384325E7</v>
      </c>
      <c r="O938" s="79">
        <v>1.1722544E7</v>
      </c>
      <c r="P938" s="79" t="s">
        <v>242</v>
      </c>
    </row>
    <row r="939">
      <c r="J939" s="79" t="s">
        <v>1281</v>
      </c>
      <c r="K939" t="str">
        <f>E55</f>
        <v>S1a2a</v>
      </c>
      <c r="M939" s="79"/>
      <c r="N939" s="79">
        <v>7137615.0</v>
      </c>
      <c r="O939" s="79">
        <v>7269574.0</v>
      </c>
      <c r="P939" s="79" t="s">
        <v>219</v>
      </c>
    </row>
    <row r="940">
      <c r="J940" s="79" t="s">
        <v>1282</v>
      </c>
      <c r="K940" t="str">
        <f>E55</f>
        <v>S1a2a</v>
      </c>
      <c r="M940" s="79"/>
      <c r="N940" s="79">
        <v>7137862.0</v>
      </c>
      <c r="O940" s="79">
        <v>7269821.0</v>
      </c>
      <c r="P940" s="79" t="s">
        <v>302</v>
      </c>
    </row>
    <row r="941">
      <c r="J941" s="79" t="s">
        <v>1283</v>
      </c>
      <c r="K941" t="str">
        <f>E55</f>
        <v>S1a2a</v>
      </c>
      <c r="M941" s="79"/>
      <c r="N941" s="79">
        <v>7395848.0</v>
      </c>
      <c r="O941" s="79">
        <v>7527807.0</v>
      </c>
      <c r="P941" s="79" t="s">
        <v>242</v>
      </c>
    </row>
    <row r="942">
      <c r="J942" s="79" t="s">
        <v>1284</v>
      </c>
      <c r="K942" t="str">
        <f>E55</f>
        <v>S1a2a</v>
      </c>
      <c r="M942" s="79"/>
      <c r="N942" s="79">
        <v>7523159.0</v>
      </c>
      <c r="O942" s="79">
        <v>7655118.0</v>
      </c>
      <c r="P942" s="79" t="s">
        <v>302</v>
      </c>
    </row>
    <row r="943">
      <c r="J943" s="79" t="s">
        <v>1285</v>
      </c>
      <c r="K943" t="str">
        <f>E55</f>
        <v>S1a2a</v>
      </c>
      <c r="M943" s="79"/>
      <c r="N943" s="79">
        <v>7551167.0</v>
      </c>
      <c r="O943" s="79">
        <v>7683126.0</v>
      </c>
      <c r="P943" s="79" t="s">
        <v>302</v>
      </c>
    </row>
    <row r="944">
      <c r="J944" s="79" t="s">
        <v>1286</v>
      </c>
      <c r="K944" t="str">
        <f>E55</f>
        <v>S1a2a</v>
      </c>
      <c r="M944" s="79"/>
      <c r="N944" s="79">
        <v>7845957.0</v>
      </c>
      <c r="O944" s="79">
        <v>7977916.0</v>
      </c>
      <c r="P944" s="79" t="s">
        <v>229</v>
      </c>
    </row>
    <row r="945">
      <c r="J945" s="79" t="s">
        <v>1287</v>
      </c>
      <c r="K945" t="str">
        <f>E55</f>
        <v>S1a2a</v>
      </c>
      <c r="M945" s="79"/>
      <c r="N945" s="79">
        <v>7904511.0</v>
      </c>
      <c r="O945" s="79">
        <v>8036470.0</v>
      </c>
      <c r="P945" s="79" t="s">
        <v>232</v>
      </c>
    </row>
    <row r="946">
      <c r="J946" s="79" t="s">
        <v>1288</v>
      </c>
      <c r="K946" t="str">
        <f>E55</f>
        <v>S1a2a</v>
      </c>
      <c r="M946" s="79"/>
      <c r="N946" s="79">
        <v>8051542.0</v>
      </c>
      <c r="O946" s="79">
        <v>8183501.0</v>
      </c>
      <c r="P946" s="79" t="s">
        <v>242</v>
      </c>
    </row>
    <row r="947">
      <c r="J947" s="79" t="s">
        <v>1289</v>
      </c>
      <c r="K947" t="str">
        <f>E55</f>
        <v>S1a2a</v>
      </c>
      <c r="M947" s="79"/>
      <c r="N947" s="79">
        <v>8315495.0</v>
      </c>
      <c r="O947" s="79">
        <v>8447454.0</v>
      </c>
      <c r="P947" s="79" t="s">
        <v>221</v>
      </c>
    </row>
    <row r="948">
      <c r="J948" s="79" t="s">
        <v>1290</v>
      </c>
      <c r="K948" t="str">
        <f>E55</f>
        <v>S1a2a</v>
      </c>
      <c r="M948" s="79"/>
      <c r="N948" s="79">
        <v>8316471.0</v>
      </c>
      <c r="O948" s="79">
        <v>8448430.0</v>
      </c>
      <c r="P948" s="79" t="s">
        <v>221</v>
      </c>
    </row>
    <row r="949">
      <c r="J949" s="79" t="s">
        <v>1291</v>
      </c>
      <c r="K949" t="str">
        <f>E55</f>
        <v>S1a2a</v>
      </c>
      <c r="M949" s="79"/>
      <c r="N949" s="79">
        <v>8442014.0</v>
      </c>
      <c r="O949" s="79">
        <v>8573973.0</v>
      </c>
      <c r="P949" s="79" t="s">
        <v>255</v>
      </c>
    </row>
    <row r="950">
      <c r="J950" s="79" t="s">
        <v>1292</v>
      </c>
      <c r="K950" t="str">
        <f>E55</f>
        <v>S1a2a</v>
      </c>
      <c r="M950" s="79"/>
      <c r="N950" s="79">
        <v>8492204.0</v>
      </c>
      <c r="O950" s="79">
        <v>8624163.0</v>
      </c>
      <c r="P950" s="79" t="s">
        <v>302</v>
      </c>
    </row>
    <row r="951">
      <c r="J951" s="79" t="s">
        <v>1293</v>
      </c>
      <c r="K951" t="str">
        <f>E55</f>
        <v>S1a2a</v>
      </c>
      <c r="M951" s="79"/>
      <c r="N951" s="79">
        <v>8521197.0</v>
      </c>
      <c r="O951" s="79">
        <v>8653156.0</v>
      </c>
      <c r="P951" s="79" t="s">
        <v>221</v>
      </c>
    </row>
    <row r="952">
      <c r="J952" s="79" t="s">
        <v>1294</v>
      </c>
      <c r="K952" t="str">
        <f>E55</f>
        <v>S1a2a</v>
      </c>
      <c r="M952" s="79"/>
      <c r="N952" s="79">
        <v>8710764.0</v>
      </c>
      <c r="O952" s="79">
        <v>8842723.0</v>
      </c>
      <c r="P952" s="79" t="s">
        <v>285</v>
      </c>
    </row>
    <row r="953">
      <c r="J953" s="79" t="s">
        <v>1295</v>
      </c>
      <c r="K953" t="str">
        <f>E55</f>
        <v>S1a2a</v>
      </c>
      <c r="M953" s="79"/>
      <c r="N953" s="79">
        <v>8877782.0</v>
      </c>
      <c r="O953" s="79">
        <v>9009741.0</v>
      </c>
      <c r="P953" s="79" t="s">
        <v>224</v>
      </c>
    </row>
    <row r="954">
      <c r="J954" s="79" t="s">
        <v>1296</v>
      </c>
      <c r="K954" t="str">
        <f>E55</f>
        <v>S1a2a</v>
      </c>
      <c r="M954" s="79"/>
      <c r="N954" s="79">
        <v>9443604.0</v>
      </c>
      <c r="O954" s="79">
        <v>9605995.0</v>
      </c>
      <c r="P954" s="79" t="s">
        <v>283</v>
      </c>
    </row>
    <row r="955">
      <c r="J955" s="79" t="s">
        <v>1297</v>
      </c>
      <c r="K955" t="str">
        <f>E55</f>
        <v>S1a2a</v>
      </c>
      <c r="M955" s="79"/>
      <c r="N955" s="79">
        <v>9836287.0</v>
      </c>
      <c r="O955" s="79">
        <v>9998678.0</v>
      </c>
      <c r="P955" s="79" t="s">
        <v>302</v>
      </c>
    </row>
    <row r="956">
      <c r="J956" s="79" t="s">
        <v>1298</v>
      </c>
      <c r="K956" t="str">
        <f>E55</f>
        <v>S1a2a</v>
      </c>
      <c r="M956" s="79"/>
      <c r="N956" s="79">
        <v>9847193.0</v>
      </c>
      <c r="O956" s="79">
        <v>1.0009584E7</v>
      </c>
      <c r="P956" s="79" t="s">
        <v>232</v>
      </c>
    </row>
    <row r="957">
      <c r="J957" s="79" t="s">
        <v>1299</v>
      </c>
      <c r="K957" t="str">
        <f>E55</f>
        <v>S1a2a</v>
      </c>
      <c r="M957" s="79"/>
      <c r="N957" s="79">
        <v>1.4079193E7</v>
      </c>
      <c r="O957" s="79">
        <v>1.1958487E7</v>
      </c>
      <c r="P957" s="79" t="s">
        <v>255</v>
      </c>
    </row>
    <row r="958">
      <c r="J958" s="79" t="s">
        <v>1300</v>
      </c>
      <c r="K958" t="str">
        <f>E55</f>
        <v>S1a2a</v>
      </c>
      <c r="M958" s="79"/>
      <c r="N958" s="79">
        <v>1.421053E7</v>
      </c>
      <c r="O958" s="79">
        <v>1.2089824E7</v>
      </c>
      <c r="P958" s="79" t="s">
        <v>219</v>
      </c>
    </row>
    <row r="959">
      <c r="J959" s="79" t="s">
        <v>1301</v>
      </c>
      <c r="K959" t="str">
        <f>E55</f>
        <v>S1a2a</v>
      </c>
      <c r="M959" s="79"/>
      <c r="N959" s="79">
        <v>1.4337325E7</v>
      </c>
      <c r="O959" s="79">
        <v>1.221662E7</v>
      </c>
      <c r="P959" s="79" t="s">
        <v>302</v>
      </c>
    </row>
    <row r="960">
      <c r="J960" s="79" t="s">
        <v>1302</v>
      </c>
      <c r="K960" t="str">
        <f>E55</f>
        <v>S1a2a</v>
      </c>
      <c r="M960" s="79"/>
      <c r="N960" s="79">
        <v>1.4346959E7</v>
      </c>
      <c r="O960" s="79">
        <v>1.2226254E7</v>
      </c>
      <c r="P960" s="79" t="s">
        <v>302</v>
      </c>
    </row>
    <row r="961">
      <c r="J961" s="79" t="s">
        <v>1303</v>
      </c>
      <c r="K961" t="str">
        <f>E55</f>
        <v>S1a2a</v>
      </c>
      <c r="M961" s="79"/>
      <c r="N961" s="79">
        <v>1.4357247E7</v>
      </c>
      <c r="O961" s="79">
        <v>1.2236542E7</v>
      </c>
      <c r="P961" s="79" t="s">
        <v>302</v>
      </c>
    </row>
    <row r="962">
      <c r="J962" s="79" t="s">
        <v>1304</v>
      </c>
      <c r="K962" t="str">
        <f>E55</f>
        <v>S1a2a</v>
      </c>
      <c r="M962" s="79"/>
      <c r="N962" s="79">
        <v>1.5130096E7</v>
      </c>
      <c r="O962" s="79">
        <v>1.3018183E7</v>
      </c>
      <c r="P962" s="79" t="s">
        <v>224</v>
      </c>
    </row>
    <row r="963">
      <c r="J963" s="79" t="s">
        <v>1305</v>
      </c>
      <c r="K963" t="str">
        <f>E55</f>
        <v>S1a2a</v>
      </c>
      <c r="M963" s="79"/>
      <c r="N963" s="79">
        <v>1.5182331E7</v>
      </c>
      <c r="O963" s="79">
        <v>1.3070417E7</v>
      </c>
      <c r="P963" s="79" t="s">
        <v>216</v>
      </c>
    </row>
    <row r="964">
      <c r="J964" s="79" t="s">
        <v>1306</v>
      </c>
      <c r="K964" t="str">
        <f>E55</f>
        <v>S1a2a</v>
      </c>
      <c r="M964" s="79"/>
      <c r="N964" s="79">
        <v>1.5197207E7</v>
      </c>
      <c r="O964" s="79">
        <v>1.3085293E7</v>
      </c>
      <c r="P964" s="79" t="s">
        <v>235</v>
      </c>
    </row>
    <row r="965">
      <c r="J965" s="79" t="s">
        <v>1307</v>
      </c>
      <c r="K965" t="str">
        <f>E55</f>
        <v>S1a2a</v>
      </c>
      <c r="M965" s="79"/>
      <c r="N965" s="79">
        <v>1.5371592E7</v>
      </c>
      <c r="O965" s="79">
        <v>1.3259712E7</v>
      </c>
      <c r="P965" s="79" t="s">
        <v>283</v>
      </c>
    </row>
    <row r="966">
      <c r="J966" s="79" t="s">
        <v>1308</v>
      </c>
      <c r="K966" t="str">
        <f>E55</f>
        <v>S1a2a</v>
      </c>
      <c r="M966" s="79"/>
      <c r="N966" s="79">
        <v>1.5447698E7</v>
      </c>
      <c r="O966" s="79">
        <v>1.3335818E7</v>
      </c>
      <c r="P966" s="79" t="s">
        <v>242</v>
      </c>
    </row>
    <row r="967">
      <c r="J967" s="79" t="s">
        <v>1309</v>
      </c>
      <c r="K967" t="str">
        <f>E55</f>
        <v>S1a2a</v>
      </c>
      <c r="M967" s="79"/>
      <c r="N967" s="79">
        <v>1.5574541E7</v>
      </c>
      <c r="O967" s="79">
        <v>1.3462661E7</v>
      </c>
      <c r="P967" s="79" t="s">
        <v>219</v>
      </c>
    </row>
    <row r="968">
      <c r="J968" s="79" t="s">
        <v>1310</v>
      </c>
      <c r="K968" t="str">
        <f>E55</f>
        <v>S1a2a</v>
      </c>
      <c r="M968" s="79"/>
      <c r="N968" s="79">
        <v>1.5614199E7</v>
      </c>
      <c r="O968" s="79">
        <v>1.3502319E7</v>
      </c>
      <c r="P968" s="79" t="s">
        <v>255</v>
      </c>
    </row>
    <row r="969">
      <c r="J969" s="79" t="s">
        <v>1311</v>
      </c>
      <c r="K969" t="str">
        <f>E55</f>
        <v>S1a2a</v>
      </c>
      <c r="M969" s="79"/>
      <c r="N969" s="79">
        <v>1.5746884E7</v>
      </c>
      <c r="O969" s="79">
        <v>1.3635004E7</v>
      </c>
      <c r="P969" s="79" t="s">
        <v>216</v>
      </c>
    </row>
    <row r="970">
      <c r="J970" s="79" t="s">
        <v>1312</v>
      </c>
      <c r="K970" t="str">
        <f>E55</f>
        <v>S1a2a</v>
      </c>
      <c r="M970" s="79"/>
      <c r="N970" s="79">
        <v>1.5810137E7</v>
      </c>
      <c r="O970" s="79">
        <v>1.3698257E7</v>
      </c>
      <c r="P970" s="79" t="s">
        <v>232</v>
      </c>
    </row>
    <row r="971">
      <c r="J971" s="79" t="s">
        <v>1313</v>
      </c>
      <c r="K971" t="str">
        <f>E55</f>
        <v>S1a2a</v>
      </c>
      <c r="M971" s="79"/>
      <c r="N971" s="79">
        <v>1.5812196E7</v>
      </c>
      <c r="O971" s="79">
        <v>1.3700316E7</v>
      </c>
      <c r="P971" s="79" t="s">
        <v>302</v>
      </c>
    </row>
    <row r="972">
      <c r="J972" s="79" t="s">
        <v>1314</v>
      </c>
      <c r="K972" t="str">
        <f>E55</f>
        <v>S1a2a</v>
      </c>
      <c r="M972" s="79"/>
      <c r="N972" s="79">
        <v>1.5966042E7</v>
      </c>
      <c r="O972" s="79">
        <v>1.3854162E7</v>
      </c>
      <c r="P972" s="79" t="s">
        <v>232</v>
      </c>
    </row>
    <row r="973">
      <c r="J973" s="79" t="s">
        <v>1315</v>
      </c>
      <c r="K973" t="str">
        <f>E55</f>
        <v>S1a2a</v>
      </c>
      <c r="M973" s="79"/>
      <c r="N973" s="79">
        <v>1.6237847E7</v>
      </c>
      <c r="O973" s="79">
        <v>1.4125967E7</v>
      </c>
      <c r="P973" s="79" t="s">
        <v>232</v>
      </c>
    </row>
    <row r="974">
      <c r="J974" s="79" t="s">
        <v>1316</v>
      </c>
      <c r="K974" t="str">
        <f>E55</f>
        <v>S1a2a</v>
      </c>
      <c r="M974" s="79"/>
      <c r="N974" s="79">
        <v>1.6327006E7</v>
      </c>
      <c r="O974" s="79">
        <v>1.4215126E7</v>
      </c>
      <c r="P974" s="79" t="s">
        <v>302</v>
      </c>
    </row>
    <row r="975">
      <c r="J975" s="79" t="s">
        <v>1317</v>
      </c>
      <c r="K975" t="str">
        <f>E55</f>
        <v>S1a2a</v>
      </c>
      <c r="M975" s="79"/>
      <c r="N975" s="79">
        <v>1.6543817E7</v>
      </c>
      <c r="O975" s="79">
        <v>1.4431937E7</v>
      </c>
      <c r="P975" s="79" t="s">
        <v>219</v>
      </c>
    </row>
    <row r="976">
      <c r="J976" s="79" t="s">
        <v>1318</v>
      </c>
      <c r="K976" t="str">
        <f>E55</f>
        <v>S1a2a</v>
      </c>
      <c r="M976" s="79"/>
      <c r="N976" s="79">
        <v>1.6810091E7</v>
      </c>
      <c r="O976" s="79">
        <v>1.4698211E7</v>
      </c>
      <c r="P976" s="79" t="s">
        <v>283</v>
      </c>
    </row>
    <row r="977">
      <c r="J977" s="79" t="s">
        <v>1319</v>
      </c>
      <c r="K977" t="str">
        <f>E55</f>
        <v>S1a2a</v>
      </c>
      <c r="M977" s="79"/>
      <c r="N977" s="79">
        <v>1.6851439E7</v>
      </c>
      <c r="O977" s="79">
        <v>1.4739559E7</v>
      </c>
      <c r="P977" s="79" t="s">
        <v>224</v>
      </c>
    </row>
    <row r="978">
      <c r="J978" s="79" t="s">
        <v>1320</v>
      </c>
      <c r="K978" t="str">
        <f>E55</f>
        <v>S1a2a</v>
      </c>
      <c r="M978" s="79"/>
      <c r="N978" s="79">
        <v>1.7032805E7</v>
      </c>
      <c r="O978" s="79">
        <v>1.4920925E7</v>
      </c>
      <c r="P978" s="79" t="s">
        <v>242</v>
      </c>
    </row>
    <row r="979">
      <c r="J979" s="79" t="s">
        <v>1321</v>
      </c>
      <c r="K979" t="str">
        <f>E55</f>
        <v>S1a2a</v>
      </c>
      <c r="M979" s="79"/>
      <c r="N979" s="79">
        <v>1.7086159E7</v>
      </c>
      <c r="O979" s="79">
        <v>1.4974279E7</v>
      </c>
      <c r="P979" s="79" t="s">
        <v>221</v>
      </c>
    </row>
    <row r="980">
      <c r="J980" s="79" t="s">
        <v>1322</v>
      </c>
      <c r="K980" t="str">
        <f>E55</f>
        <v>S1a2a</v>
      </c>
      <c r="M980" s="79"/>
      <c r="N980" s="79">
        <v>1.7145277E7</v>
      </c>
      <c r="O980" s="79">
        <v>1.5033397E7</v>
      </c>
      <c r="P980" s="79" t="s">
        <v>219</v>
      </c>
    </row>
    <row r="981">
      <c r="J981" s="79" t="s">
        <v>1323</v>
      </c>
      <c r="K981" t="str">
        <f>E55</f>
        <v>S1a2a</v>
      </c>
      <c r="M981" s="79"/>
      <c r="N981" s="79">
        <v>1.7595995E7</v>
      </c>
      <c r="O981" s="79">
        <v>1.5484115E7</v>
      </c>
      <c r="P981" s="79" t="s">
        <v>285</v>
      </c>
    </row>
    <row r="982">
      <c r="J982" s="79" t="s">
        <v>1324</v>
      </c>
      <c r="K982" t="str">
        <f>E55</f>
        <v>S1a2a</v>
      </c>
      <c r="M982" s="79"/>
      <c r="N982" s="79">
        <v>1.7694844E7</v>
      </c>
      <c r="O982" s="79">
        <v>1.5582964E7</v>
      </c>
      <c r="P982" s="79" t="s">
        <v>229</v>
      </c>
    </row>
    <row r="983">
      <c r="J983" s="79" t="s">
        <v>1325</v>
      </c>
      <c r="K983" t="str">
        <f>E55</f>
        <v>S1a2a</v>
      </c>
      <c r="M983" s="79"/>
      <c r="N983" s="79">
        <v>1.7877063E7</v>
      </c>
      <c r="O983" s="79">
        <v>1.5765183E7</v>
      </c>
      <c r="P983" s="79" t="s">
        <v>232</v>
      </c>
    </row>
    <row r="984">
      <c r="J984" s="79" t="s">
        <v>1326</v>
      </c>
      <c r="K984" t="str">
        <f>E55</f>
        <v>S1a2a</v>
      </c>
      <c r="M984" s="79"/>
      <c r="N984" s="79">
        <v>1.7925382E7</v>
      </c>
      <c r="O984" s="79">
        <v>1.5813502E7</v>
      </c>
      <c r="P984" s="79" t="s">
        <v>235</v>
      </c>
    </row>
    <row r="985">
      <c r="J985" s="79" t="s">
        <v>1327</v>
      </c>
      <c r="K985" t="str">
        <f>E55</f>
        <v>S1a2a</v>
      </c>
      <c r="M985" s="79"/>
      <c r="N985" s="79">
        <v>1.7970313E7</v>
      </c>
      <c r="O985" s="79">
        <v>1.5858433E7</v>
      </c>
      <c r="P985" s="79" t="s">
        <v>232</v>
      </c>
    </row>
    <row r="986">
      <c r="J986" s="79" t="s">
        <v>1328</v>
      </c>
      <c r="K986" t="str">
        <f>E55</f>
        <v>S1a2a</v>
      </c>
      <c r="M986" s="79"/>
      <c r="N986" s="79">
        <v>1.8948907E7</v>
      </c>
      <c r="O986" s="79">
        <v>1.6837027E7</v>
      </c>
      <c r="P986" s="79" t="s">
        <v>302</v>
      </c>
    </row>
    <row r="987">
      <c r="J987" s="79" t="s">
        <v>1329</v>
      </c>
      <c r="K987" t="str">
        <f>E55</f>
        <v>S1a2a</v>
      </c>
      <c r="M987" s="79"/>
      <c r="N987" s="79">
        <v>1.8999454E7</v>
      </c>
      <c r="O987" s="79">
        <v>1.6887574E7</v>
      </c>
      <c r="P987" s="79" t="s">
        <v>221</v>
      </c>
    </row>
    <row r="988">
      <c r="J988" s="79" t="s">
        <v>1330</v>
      </c>
      <c r="K988" t="str">
        <f>E55</f>
        <v>S1a2a</v>
      </c>
      <c r="M988" s="79"/>
      <c r="N988" s="79">
        <v>1.9114912E7</v>
      </c>
      <c r="O988" s="79">
        <v>1.7003032E7</v>
      </c>
      <c r="P988" s="79" t="s">
        <v>302</v>
      </c>
    </row>
    <row r="989">
      <c r="J989" s="79" t="s">
        <v>1331</v>
      </c>
      <c r="K989" t="str">
        <f>E55</f>
        <v>S1a2a</v>
      </c>
      <c r="M989" s="79"/>
      <c r="N989" s="79">
        <v>1.9128039E7</v>
      </c>
      <c r="O989" s="79">
        <v>1.7016159E7</v>
      </c>
      <c r="P989" s="79" t="s">
        <v>232</v>
      </c>
    </row>
    <row r="990">
      <c r="J990" s="79" t="s">
        <v>1332</v>
      </c>
      <c r="K990" t="str">
        <f>E55</f>
        <v>S1a2a</v>
      </c>
      <c r="M990" s="79"/>
      <c r="N990" s="79">
        <v>1.9128039E7</v>
      </c>
      <c r="O990" s="79">
        <v>1.7021931E7</v>
      </c>
      <c r="P990" s="79" t="s">
        <v>216</v>
      </c>
    </row>
    <row r="991">
      <c r="J991" s="79" t="s">
        <v>1333</v>
      </c>
      <c r="K991" t="str">
        <f>E55</f>
        <v>S1a2a</v>
      </c>
      <c r="M991" s="79"/>
      <c r="N991" s="79">
        <v>1.9143517E7</v>
      </c>
      <c r="O991" s="79">
        <v>1.7031637E7</v>
      </c>
      <c r="P991" s="79" t="s">
        <v>285</v>
      </c>
    </row>
    <row r="992">
      <c r="J992" s="79" t="s">
        <v>1334</v>
      </c>
      <c r="K992" t="str">
        <f>E55</f>
        <v>S1a2a</v>
      </c>
      <c r="M992" s="79"/>
      <c r="N992" s="79">
        <v>1.9408391E7</v>
      </c>
      <c r="O992" s="79">
        <v>1.7296511E7</v>
      </c>
      <c r="P992" s="79" t="s">
        <v>221</v>
      </c>
    </row>
    <row r="993">
      <c r="J993" s="79" t="s">
        <v>1335</v>
      </c>
      <c r="K993" t="str">
        <f>E55</f>
        <v>S1a2a</v>
      </c>
      <c r="M993" s="79"/>
      <c r="N993" s="79">
        <v>1.9412336E7</v>
      </c>
      <c r="O993" s="79">
        <v>1.7300456E7</v>
      </c>
      <c r="P993" s="79" t="s">
        <v>232</v>
      </c>
    </row>
    <row r="994">
      <c r="J994" s="79" t="s">
        <v>1336</v>
      </c>
      <c r="K994" t="str">
        <f>E55</f>
        <v>S1a2a</v>
      </c>
      <c r="M994" s="79"/>
      <c r="N994" s="79">
        <v>2.1065299E7</v>
      </c>
      <c r="O994" s="79">
        <v>1.8903413E7</v>
      </c>
      <c r="P994" s="79" t="s">
        <v>302</v>
      </c>
    </row>
    <row r="995">
      <c r="J995" s="79" t="s">
        <v>1337</v>
      </c>
      <c r="K995" t="str">
        <f>E55</f>
        <v>S1a2a</v>
      </c>
      <c r="M995" s="79"/>
      <c r="N995" s="79">
        <v>2.1084762E7</v>
      </c>
      <c r="O995" s="79">
        <v>1.8922876E7</v>
      </c>
      <c r="P995" s="79" t="s">
        <v>219</v>
      </c>
    </row>
    <row r="996">
      <c r="J996" s="79" t="s">
        <v>1338</v>
      </c>
      <c r="K996" t="str">
        <f>E55</f>
        <v>S1a2a</v>
      </c>
      <c r="M996" s="79"/>
      <c r="N996" s="79">
        <v>2.1138571E7</v>
      </c>
      <c r="O996" s="79">
        <v>1.8976685E7</v>
      </c>
      <c r="P996" s="79" t="s">
        <v>216</v>
      </c>
    </row>
    <row r="997">
      <c r="J997" s="79" t="s">
        <v>1339</v>
      </c>
      <c r="K997" t="str">
        <f>E55</f>
        <v>S1a2a</v>
      </c>
      <c r="M997" s="79"/>
      <c r="N997" s="79">
        <v>2.118017E7</v>
      </c>
      <c r="O997" s="79">
        <v>1.9018284E7</v>
      </c>
      <c r="P997" s="79" t="s">
        <v>283</v>
      </c>
    </row>
    <row r="998">
      <c r="J998" s="79" t="s">
        <v>1340</v>
      </c>
      <c r="K998" t="str">
        <f>E55</f>
        <v>S1a2a</v>
      </c>
      <c r="M998" s="79"/>
      <c r="N998" s="79">
        <v>2.1292022E7</v>
      </c>
      <c r="O998" s="79">
        <v>1.9130136E7</v>
      </c>
      <c r="P998" s="79" t="s">
        <v>255</v>
      </c>
    </row>
    <row r="999">
      <c r="J999" s="79" t="s">
        <v>1341</v>
      </c>
      <c r="K999" t="str">
        <f>E55</f>
        <v>S1a2a</v>
      </c>
      <c r="M999" s="79"/>
      <c r="N999" s="79">
        <v>2.1491205E7</v>
      </c>
      <c r="O999" s="79">
        <v>1.9329319E7</v>
      </c>
      <c r="P999" s="79" t="s">
        <v>229</v>
      </c>
    </row>
    <row r="1000">
      <c r="J1000" s="79" t="s">
        <v>1342</v>
      </c>
      <c r="K1000" t="str">
        <f>E55</f>
        <v>S1a2a</v>
      </c>
      <c r="M1000" s="79"/>
      <c r="N1000" s="79">
        <v>2.1508361E7</v>
      </c>
      <c r="O1000" s="79">
        <v>1.9346475E7</v>
      </c>
      <c r="P1000" s="79" t="s">
        <v>302</v>
      </c>
    </row>
    <row r="1001">
      <c r="J1001" s="79" t="s">
        <v>1343</v>
      </c>
      <c r="K1001" t="str">
        <f>E55</f>
        <v>S1a2a</v>
      </c>
      <c r="M1001" s="79"/>
      <c r="N1001" s="79">
        <v>2.1517732E7</v>
      </c>
      <c r="O1001" s="79">
        <v>1.9355846E7</v>
      </c>
      <c r="P1001" s="79" t="s">
        <v>302</v>
      </c>
    </row>
    <row r="1002">
      <c r="J1002" s="79" t="s">
        <v>1344</v>
      </c>
      <c r="K1002" t="str">
        <f>E55</f>
        <v>S1a2a</v>
      </c>
      <c r="M1002" s="79"/>
      <c r="N1002" s="79">
        <v>2.1621406E7</v>
      </c>
      <c r="O1002" s="79">
        <v>1.945952E7</v>
      </c>
      <c r="P1002" s="79" t="s">
        <v>302</v>
      </c>
    </row>
    <row r="1003">
      <c r="J1003" s="79" t="s">
        <v>1345</v>
      </c>
      <c r="K1003" t="str">
        <f>E55</f>
        <v>S1a2a</v>
      </c>
      <c r="M1003" s="79"/>
      <c r="N1003" s="79">
        <v>2.1756305E7</v>
      </c>
      <c r="O1003" s="79">
        <v>1.9594419E7</v>
      </c>
      <c r="P1003" s="79" t="s">
        <v>302</v>
      </c>
    </row>
    <row r="1004">
      <c r="J1004" s="79" t="s">
        <v>1346</v>
      </c>
      <c r="K1004" t="str">
        <f>E55</f>
        <v>S1a2a</v>
      </c>
      <c r="M1004" s="79"/>
      <c r="N1004" s="79">
        <v>2.1817445E7</v>
      </c>
      <c r="O1004" s="79">
        <v>1.9655559E7</v>
      </c>
      <c r="P1004" s="79" t="s">
        <v>221</v>
      </c>
    </row>
    <row r="1005">
      <c r="J1005" s="79" t="s">
        <v>1347</v>
      </c>
      <c r="K1005" t="str">
        <f>E55</f>
        <v>S1a2a</v>
      </c>
      <c r="M1005" s="79"/>
      <c r="N1005" s="79">
        <v>2.1935533E7</v>
      </c>
      <c r="O1005" s="79">
        <v>1.9773647E7</v>
      </c>
      <c r="P1005" s="79" t="s">
        <v>219</v>
      </c>
    </row>
    <row r="1006">
      <c r="J1006" s="79" t="s">
        <v>1348</v>
      </c>
      <c r="K1006" t="str">
        <f>E55</f>
        <v>S1a2a</v>
      </c>
      <c r="M1006" s="79"/>
      <c r="N1006" s="79">
        <v>2.2203181E7</v>
      </c>
      <c r="O1006" s="79">
        <v>2.0041295E7</v>
      </c>
      <c r="P1006" s="79" t="s">
        <v>221</v>
      </c>
    </row>
    <row r="1007">
      <c r="J1007" s="79" t="s">
        <v>1349</v>
      </c>
      <c r="K1007" t="str">
        <f>E55</f>
        <v>S1a2a</v>
      </c>
      <c r="M1007" s="79"/>
      <c r="N1007" s="79">
        <v>2.2558634E7</v>
      </c>
      <c r="O1007" s="79">
        <v>2.0396748E7</v>
      </c>
      <c r="P1007" s="79" t="s">
        <v>242</v>
      </c>
    </row>
    <row r="1008">
      <c r="J1008" s="79" t="s">
        <v>1350</v>
      </c>
      <c r="K1008" t="str">
        <f>E55</f>
        <v>S1a2a</v>
      </c>
      <c r="M1008" s="79"/>
      <c r="N1008" s="79">
        <v>2.2586611E7</v>
      </c>
      <c r="O1008" s="79">
        <v>2.0424725E7</v>
      </c>
      <c r="P1008" s="79" t="s">
        <v>219</v>
      </c>
    </row>
    <row r="1009">
      <c r="J1009" s="79" t="s">
        <v>1351</v>
      </c>
      <c r="K1009" t="str">
        <f>E55</f>
        <v>S1a2a</v>
      </c>
      <c r="M1009" s="79"/>
      <c r="N1009" s="79">
        <v>2.2618098E7</v>
      </c>
      <c r="O1009" s="79">
        <v>2.0456212E7</v>
      </c>
      <c r="P1009" s="79" t="s">
        <v>302</v>
      </c>
    </row>
    <row r="1010">
      <c r="J1010" s="79" t="s">
        <v>1352</v>
      </c>
      <c r="K1010" t="str">
        <f>E55</f>
        <v>S1a2a</v>
      </c>
      <c r="M1010" s="79"/>
      <c r="N1010" s="79">
        <v>2.2903517E7</v>
      </c>
      <c r="O1010" s="79">
        <v>2.0741631E7</v>
      </c>
      <c r="P1010" s="79" t="s">
        <v>224</v>
      </c>
    </row>
    <row r="1011">
      <c r="J1011" s="79" t="s">
        <v>1353</v>
      </c>
      <c r="K1011" t="str">
        <f>E55</f>
        <v>S1a2a</v>
      </c>
      <c r="M1011" s="79"/>
      <c r="N1011" s="79">
        <v>2.2976906E7</v>
      </c>
      <c r="O1011" s="79">
        <v>2.081502E7</v>
      </c>
      <c r="P1011" s="79" t="s">
        <v>219</v>
      </c>
    </row>
    <row r="1012">
      <c r="J1012" s="79" t="s">
        <v>1354</v>
      </c>
      <c r="K1012" t="str">
        <f>E55</f>
        <v>S1a2a</v>
      </c>
      <c r="M1012" s="79"/>
      <c r="N1012" s="79">
        <v>2.3298688E7</v>
      </c>
      <c r="O1012" s="79">
        <v>2.1136802E7</v>
      </c>
      <c r="P1012" s="79" t="s">
        <v>302</v>
      </c>
    </row>
    <row r="1013">
      <c r="J1013" s="79" t="s">
        <v>1355</v>
      </c>
      <c r="K1013" t="str">
        <f>E55</f>
        <v>S1a2a</v>
      </c>
      <c r="M1013" s="79"/>
      <c r="N1013" s="79">
        <v>2.3359123E7</v>
      </c>
      <c r="O1013" s="79">
        <v>2.1197237E7</v>
      </c>
      <c r="P1013" s="79" t="s">
        <v>221</v>
      </c>
    </row>
    <row r="1014">
      <c r="J1014" s="79" t="s">
        <v>1356</v>
      </c>
      <c r="K1014" t="str">
        <f>E55</f>
        <v>S1a2a</v>
      </c>
      <c r="M1014" s="79"/>
      <c r="N1014" s="79">
        <v>2.3505849E7</v>
      </c>
      <c r="O1014" s="79">
        <v>2.1343963E7</v>
      </c>
      <c r="P1014" s="79" t="s">
        <v>235</v>
      </c>
    </row>
    <row r="1015">
      <c r="J1015" s="79" t="s">
        <v>1357</v>
      </c>
      <c r="K1015" t="str">
        <f>E55</f>
        <v>S1a2a</v>
      </c>
      <c r="M1015" s="79"/>
      <c r="N1015" s="79">
        <v>2.3506029E7</v>
      </c>
      <c r="O1015" s="79">
        <v>2.1344143E7</v>
      </c>
      <c r="P1015" s="79" t="s">
        <v>224</v>
      </c>
    </row>
    <row r="1016">
      <c r="J1016" s="79" t="s">
        <v>1358</v>
      </c>
      <c r="K1016" t="str">
        <f>E55</f>
        <v>S1a2a</v>
      </c>
      <c r="M1016" s="79"/>
      <c r="N1016" s="79">
        <v>2.4399877E7</v>
      </c>
      <c r="O1016" s="79">
        <v>2.225373E7</v>
      </c>
      <c r="P1016" s="79" t="s">
        <v>255</v>
      </c>
    </row>
    <row r="1017">
      <c r="J1017" s="79" t="s">
        <v>1359</v>
      </c>
      <c r="K1017" t="str">
        <f>E55</f>
        <v>S1a2a</v>
      </c>
      <c r="M1017" s="79"/>
      <c r="N1017" s="79">
        <v>2.4453759E7</v>
      </c>
      <c r="O1017" s="79">
        <v>2.2307612E7</v>
      </c>
      <c r="P1017" s="79" t="s">
        <v>219</v>
      </c>
    </row>
    <row r="1018">
      <c r="J1018" s="79" t="s">
        <v>1360</v>
      </c>
      <c r="K1018" t="str">
        <f>E55</f>
        <v>S1a2a</v>
      </c>
      <c r="M1018" s="79"/>
      <c r="N1018" s="79">
        <v>2680309.0</v>
      </c>
      <c r="O1018" s="79">
        <v>2812268.0</v>
      </c>
      <c r="P1018" s="79" t="s">
        <v>302</v>
      </c>
    </row>
    <row r="1019">
      <c r="J1019" s="79" t="s">
        <v>1361</v>
      </c>
      <c r="K1019" t="str">
        <f>E55</f>
        <v>S1a2a</v>
      </c>
      <c r="M1019" s="79"/>
      <c r="N1019" s="79">
        <v>2759426.0</v>
      </c>
      <c r="O1019" s="79">
        <v>2891385.0</v>
      </c>
      <c r="P1019" s="79" t="s">
        <v>216</v>
      </c>
    </row>
    <row r="1020">
      <c r="J1020" s="79" t="s">
        <v>1362</v>
      </c>
      <c r="K1020" t="str">
        <f>E55</f>
        <v>S1a2a</v>
      </c>
      <c r="M1020" s="79"/>
      <c r="N1020" s="79">
        <v>2940837.0</v>
      </c>
      <c r="O1020" s="79">
        <v>3072796.0</v>
      </c>
      <c r="P1020" s="79" t="s">
        <v>232</v>
      </c>
    </row>
    <row r="1021">
      <c r="J1021" s="79" t="s">
        <v>1363</v>
      </c>
      <c r="K1021" t="str">
        <f>E55</f>
        <v>S1a2a</v>
      </c>
      <c r="M1021" s="79"/>
      <c r="N1021" s="79">
        <v>2994967.0</v>
      </c>
      <c r="O1021" s="79">
        <v>3126926.0</v>
      </c>
      <c r="P1021" s="79" t="s">
        <v>219</v>
      </c>
    </row>
    <row r="1022">
      <c r="J1022" s="79" t="s">
        <v>1364</v>
      </c>
      <c r="K1022" t="str">
        <f>E55</f>
        <v>S1a2a</v>
      </c>
      <c r="M1022" s="79"/>
      <c r="N1022" s="79">
        <v>3080492.0</v>
      </c>
      <c r="O1022" s="79">
        <v>3212451.0</v>
      </c>
      <c r="P1022" s="79" t="s">
        <v>235</v>
      </c>
    </row>
    <row r="1023">
      <c r="J1023" s="79" t="s">
        <v>1365</v>
      </c>
      <c r="K1023" t="str">
        <f>E55</f>
        <v>S1a2a</v>
      </c>
      <c r="M1023" s="79"/>
      <c r="N1023" s="79">
        <v>3287426.0</v>
      </c>
      <c r="O1023" s="79">
        <v>3419385.0</v>
      </c>
      <c r="P1023" s="79" t="s">
        <v>242</v>
      </c>
    </row>
    <row r="1024">
      <c r="J1024" s="79" t="s">
        <v>1366</v>
      </c>
      <c r="K1024" t="str">
        <f>E55</f>
        <v>S1a2a</v>
      </c>
      <c r="M1024" s="79"/>
      <c r="N1024" s="79">
        <v>3321639.0</v>
      </c>
      <c r="O1024" s="79">
        <v>3453598.0</v>
      </c>
      <c r="P1024" s="79" t="s">
        <v>229</v>
      </c>
    </row>
    <row r="1025">
      <c r="J1025" s="79" t="s">
        <v>1367</v>
      </c>
      <c r="K1025" t="str">
        <f>E55</f>
        <v>S1a2a</v>
      </c>
      <c r="M1025" s="79"/>
      <c r="N1025" s="79">
        <v>3436287.0</v>
      </c>
      <c r="O1025" s="79">
        <v>3568246.0</v>
      </c>
      <c r="P1025" s="79" t="s">
        <v>221</v>
      </c>
    </row>
    <row r="1026">
      <c r="J1026" s="79" t="s">
        <v>1368</v>
      </c>
      <c r="K1026" t="str">
        <f>E55</f>
        <v>S1a2a</v>
      </c>
      <c r="M1026" s="79"/>
      <c r="N1026" s="79">
        <v>3468867.0</v>
      </c>
      <c r="O1026" s="79">
        <v>3600826.0</v>
      </c>
      <c r="P1026" s="79" t="s">
        <v>242</v>
      </c>
    </row>
    <row r="1027">
      <c r="J1027" s="79" t="s">
        <v>1369</v>
      </c>
      <c r="K1027" t="str">
        <f>E55</f>
        <v>S1a2a</v>
      </c>
      <c r="M1027" s="79"/>
      <c r="N1027" s="79">
        <v>3493335.0</v>
      </c>
      <c r="O1027" s="79">
        <v>3625294.0</v>
      </c>
      <c r="P1027" s="79" t="s">
        <v>255</v>
      </c>
    </row>
    <row r="1028">
      <c r="J1028" s="79" t="s">
        <v>1370</v>
      </c>
      <c r="K1028" t="str">
        <f>E55</f>
        <v>S1a2a</v>
      </c>
      <c r="M1028" s="79"/>
      <c r="N1028" s="79">
        <v>3495585.0</v>
      </c>
      <c r="O1028" s="79">
        <v>3627544.0</v>
      </c>
      <c r="P1028" s="79" t="s">
        <v>285</v>
      </c>
    </row>
    <row r="1029">
      <c r="J1029" s="79" t="s">
        <v>1371</v>
      </c>
      <c r="K1029" t="str">
        <f>E55</f>
        <v>S1a2a</v>
      </c>
      <c r="M1029" s="79"/>
      <c r="N1029" s="79">
        <v>3532556.0</v>
      </c>
      <c r="O1029" s="79">
        <v>3664515.0</v>
      </c>
      <c r="P1029" s="79" t="s">
        <v>219</v>
      </c>
    </row>
    <row r="1030">
      <c r="J1030" s="79" t="s">
        <v>1372</v>
      </c>
      <c r="K1030" t="str">
        <f>E55</f>
        <v>S1a2a</v>
      </c>
      <c r="M1030" s="79"/>
      <c r="N1030" s="79">
        <v>3794212.0</v>
      </c>
      <c r="O1030" s="79">
        <v>3926171.0</v>
      </c>
      <c r="P1030" s="79" t="s">
        <v>283</v>
      </c>
    </row>
    <row r="1031">
      <c r="J1031" s="79" t="s">
        <v>1373</v>
      </c>
      <c r="K1031" t="str">
        <f>E55</f>
        <v>S1a2a</v>
      </c>
      <c r="M1031" s="79"/>
      <c r="N1031" s="79">
        <v>3864517.0</v>
      </c>
      <c r="O1031" s="79">
        <v>3996476.0</v>
      </c>
      <c r="P1031" s="79" t="s">
        <v>216</v>
      </c>
    </row>
    <row r="1032">
      <c r="J1032" s="79" t="s">
        <v>1374</v>
      </c>
      <c r="K1032" t="str">
        <f>E55</f>
        <v>S1a2a</v>
      </c>
      <c r="M1032" s="79"/>
      <c r="N1032" s="79">
        <v>4159961.0</v>
      </c>
      <c r="O1032" s="79">
        <v>4291920.0</v>
      </c>
      <c r="P1032" s="79" t="s">
        <v>219</v>
      </c>
    </row>
    <row r="1033">
      <c r="J1033" s="79" t="s">
        <v>1375</v>
      </c>
      <c r="K1033" t="str">
        <f>E55</f>
        <v>S1a2a</v>
      </c>
      <c r="M1033" s="79"/>
      <c r="N1033" s="79">
        <v>4179062.0</v>
      </c>
      <c r="O1033" s="79">
        <v>4311021.0</v>
      </c>
      <c r="P1033" s="79" t="s">
        <v>229</v>
      </c>
    </row>
    <row r="1034">
      <c r="J1034" s="79" t="s">
        <v>1376</v>
      </c>
      <c r="K1034" t="str">
        <f>E55</f>
        <v>S1a2a</v>
      </c>
      <c r="M1034" s="79"/>
      <c r="N1034" s="79">
        <v>4316982.0</v>
      </c>
      <c r="O1034" s="79">
        <v>4448941.0</v>
      </c>
      <c r="P1034" s="79" t="s">
        <v>283</v>
      </c>
    </row>
    <row r="1035">
      <c r="J1035" s="79" t="s">
        <v>1377</v>
      </c>
      <c r="K1035" t="str">
        <f>E55</f>
        <v>S1a2a</v>
      </c>
      <c r="M1035" s="79"/>
      <c r="N1035" s="79">
        <v>4655505.0</v>
      </c>
      <c r="O1035" s="79">
        <v>4787464.0</v>
      </c>
      <c r="P1035" s="79" t="s">
        <v>219</v>
      </c>
    </row>
    <row r="1036">
      <c r="J1036" s="79" t="s">
        <v>1378</v>
      </c>
      <c r="K1036" t="str">
        <f>E55</f>
        <v>S1a2a</v>
      </c>
      <c r="M1036" s="79"/>
      <c r="N1036" s="79">
        <v>4724561.0</v>
      </c>
      <c r="O1036" s="79">
        <v>4856520.0</v>
      </c>
      <c r="P1036" s="79" t="s">
        <v>283</v>
      </c>
    </row>
    <row r="1037">
      <c r="J1037" s="79" t="s">
        <v>1379</v>
      </c>
      <c r="K1037" t="str">
        <f>E55</f>
        <v>S1a2a</v>
      </c>
      <c r="M1037" s="79"/>
      <c r="N1037" s="79">
        <v>4933969.0</v>
      </c>
      <c r="O1037" s="79">
        <v>5065928.0</v>
      </c>
      <c r="P1037" s="79" t="s">
        <v>285</v>
      </c>
    </row>
    <row r="1038">
      <c r="J1038" s="79" t="s">
        <v>1380</v>
      </c>
      <c r="K1038" t="str">
        <f>E55</f>
        <v>S1a2a</v>
      </c>
      <c r="M1038" s="79"/>
      <c r="N1038" s="79">
        <v>4990303.0</v>
      </c>
      <c r="O1038" s="79">
        <v>5122262.0</v>
      </c>
      <c r="P1038" s="79" t="s">
        <v>216</v>
      </c>
    </row>
    <row r="1039">
      <c r="J1039" s="79" t="s">
        <v>1381</v>
      </c>
      <c r="K1039" t="str">
        <f>E55</f>
        <v>S1a2a</v>
      </c>
      <c r="M1039" s="79"/>
      <c r="N1039" s="79">
        <v>5098053.0</v>
      </c>
      <c r="O1039" s="79">
        <v>5230012.0</v>
      </c>
      <c r="P1039" s="79" t="s">
        <v>219</v>
      </c>
    </row>
    <row r="1040">
      <c r="J1040" s="79" t="s">
        <v>1382</v>
      </c>
      <c r="K1040" t="str">
        <f>E55</f>
        <v>S1a2a</v>
      </c>
      <c r="M1040" s="79"/>
      <c r="N1040" s="79">
        <v>5216380.0</v>
      </c>
      <c r="O1040" s="79">
        <v>5348339.0</v>
      </c>
      <c r="P1040" s="79" t="s">
        <v>302</v>
      </c>
    </row>
    <row r="1041">
      <c r="J1041" s="79" t="s">
        <v>1383</v>
      </c>
      <c r="K1041" t="str">
        <f>E55</f>
        <v>S1a2a</v>
      </c>
      <c r="M1041" s="79"/>
      <c r="N1041" s="79">
        <v>5246687.0</v>
      </c>
      <c r="O1041" s="79">
        <v>5378646.0</v>
      </c>
      <c r="P1041" s="79" t="s">
        <v>221</v>
      </c>
    </row>
    <row r="1042">
      <c r="J1042" s="79" t="s">
        <v>1384</v>
      </c>
      <c r="K1042" t="str">
        <f>E55</f>
        <v>S1a2a</v>
      </c>
      <c r="M1042" s="79"/>
      <c r="N1042" s="79">
        <v>5445715.0</v>
      </c>
      <c r="O1042" s="79">
        <v>5577674.0</v>
      </c>
      <c r="P1042" s="79" t="s">
        <v>219</v>
      </c>
    </row>
    <row r="1043">
      <c r="J1043" s="79" t="s">
        <v>1385</v>
      </c>
      <c r="K1043" t="str">
        <f>E55</f>
        <v>S1a2a</v>
      </c>
      <c r="M1043" s="79"/>
      <c r="N1043" s="79">
        <v>5684597.0</v>
      </c>
      <c r="O1043" s="79">
        <v>5816556.0</v>
      </c>
      <c r="P1043" s="79" t="s">
        <v>221</v>
      </c>
    </row>
    <row r="1044">
      <c r="J1044" s="79" t="s">
        <v>1386</v>
      </c>
      <c r="K1044" t="str">
        <f>E55</f>
        <v>S1a2a</v>
      </c>
      <c r="M1044" s="79"/>
      <c r="N1044" s="79">
        <v>5760362.0</v>
      </c>
      <c r="O1044" s="79">
        <v>5892321.0</v>
      </c>
      <c r="P1044" s="79" t="s">
        <v>242</v>
      </c>
    </row>
    <row r="1045">
      <c r="J1045" s="79" t="s">
        <v>1387</v>
      </c>
      <c r="K1045" t="str">
        <f>E55</f>
        <v>S1a2a</v>
      </c>
      <c r="M1045" s="79"/>
      <c r="N1045" s="79">
        <v>6049631.0</v>
      </c>
      <c r="O1045" s="79">
        <v>6181590.0</v>
      </c>
      <c r="P1045" s="79" t="s">
        <v>216</v>
      </c>
    </row>
    <row r="1046">
      <c r="J1046" s="79" t="s">
        <v>1388</v>
      </c>
      <c r="K1046" t="str">
        <f>E55</f>
        <v>S1a2a</v>
      </c>
      <c r="M1046" s="79"/>
      <c r="N1046" s="79">
        <v>6461104.0</v>
      </c>
      <c r="O1046" s="79">
        <v>6593063.0</v>
      </c>
      <c r="P1046" s="79" t="s">
        <v>219</v>
      </c>
    </row>
    <row r="1047">
      <c r="J1047" s="79" t="s">
        <v>1389</v>
      </c>
      <c r="K1047" t="str">
        <f>E55</f>
        <v>S1a2a</v>
      </c>
      <c r="M1047" s="79"/>
      <c r="N1047" s="79">
        <v>7011385.0</v>
      </c>
      <c r="O1047" s="79">
        <v>7143344.0</v>
      </c>
      <c r="P1047" s="79" t="s">
        <v>302</v>
      </c>
    </row>
    <row r="1048">
      <c r="J1048" s="79" t="s">
        <v>1390</v>
      </c>
      <c r="K1048" t="str">
        <f>E55</f>
        <v>S1a2a</v>
      </c>
      <c r="M1048" s="79"/>
      <c r="N1048" s="79">
        <v>8072325.0</v>
      </c>
      <c r="O1048" s="79">
        <v>8204284.0</v>
      </c>
      <c r="P1048" s="79" t="s">
        <v>221</v>
      </c>
    </row>
    <row r="1049">
      <c r="J1049" s="79" t="s">
        <v>1391</v>
      </c>
      <c r="K1049" t="str">
        <f>E55</f>
        <v>S1a2a</v>
      </c>
      <c r="M1049" s="79"/>
      <c r="N1049" s="79">
        <v>1.3825702E7</v>
      </c>
      <c r="O1049" s="79">
        <v>1.1704996E7</v>
      </c>
      <c r="P1049" s="79" t="s">
        <v>242</v>
      </c>
    </row>
    <row r="1050">
      <c r="J1050" s="79" t="s">
        <v>1392</v>
      </c>
      <c r="K1050" t="str">
        <f>E55</f>
        <v>S1a2a</v>
      </c>
      <c r="M1050" s="79"/>
      <c r="N1050" s="79">
        <v>1.3849999E7</v>
      </c>
      <c r="O1050" s="79">
        <v>1.1729293E7</v>
      </c>
      <c r="P1050" s="79" t="s">
        <v>219</v>
      </c>
    </row>
    <row r="1051">
      <c r="J1051" s="79" t="s">
        <v>1393</v>
      </c>
      <c r="K1051" t="str">
        <f>E55</f>
        <v>S1a2a</v>
      </c>
      <c r="M1051" s="79"/>
      <c r="N1051" s="79">
        <v>1.3916971E7</v>
      </c>
      <c r="O1051" s="79">
        <v>1.1796265E7</v>
      </c>
      <c r="P1051" s="79" t="s">
        <v>229</v>
      </c>
    </row>
    <row r="1052">
      <c r="J1052" s="79" t="s">
        <v>1394</v>
      </c>
      <c r="K1052" t="str">
        <f>E55</f>
        <v>S1a2a</v>
      </c>
      <c r="M1052" s="79"/>
      <c r="N1052" s="79">
        <v>1.3917082E7</v>
      </c>
      <c r="O1052" s="79">
        <v>1.1796376E7</v>
      </c>
      <c r="P1052" s="79" t="s">
        <v>221</v>
      </c>
    </row>
    <row r="1053">
      <c r="J1053" s="79" t="s">
        <v>1395</v>
      </c>
      <c r="K1053" t="str">
        <f>E55</f>
        <v>S1a2a</v>
      </c>
      <c r="M1053" s="79"/>
      <c r="N1053" s="79">
        <v>1.4076409E7</v>
      </c>
      <c r="O1053" s="79">
        <v>1.1955703E7</v>
      </c>
      <c r="P1053" s="79" t="s">
        <v>242</v>
      </c>
    </row>
    <row r="1054">
      <c r="J1054" s="79" t="s">
        <v>1396</v>
      </c>
      <c r="K1054" t="str">
        <f>E55</f>
        <v>S1a2a</v>
      </c>
      <c r="M1054" s="79"/>
      <c r="N1054" s="79">
        <v>1.4079685E7</v>
      </c>
      <c r="O1054" s="79">
        <v>1.1958979E7</v>
      </c>
      <c r="P1054" s="79" t="s">
        <v>221</v>
      </c>
    </row>
    <row r="1055">
      <c r="J1055" s="79" t="s">
        <v>1397</v>
      </c>
      <c r="K1055" t="str">
        <f>E55</f>
        <v>S1a2a</v>
      </c>
      <c r="M1055" s="79"/>
      <c r="N1055" s="79">
        <v>1.4100413E7</v>
      </c>
      <c r="O1055" s="79">
        <v>1.1979707E7</v>
      </c>
      <c r="P1055" s="79" t="s">
        <v>232</v>
      </c>
    </row>
    <row r="1056">
      <c r="J1056" s="79" t="s">
        <v>1398</v>
      </c>
      <c r="K1056" t="str">
        <f>E55</f>
        <v>S1a2a</v>
      </c>
      <c r="M1056" s="79"/>
      <c r="N1056" s="79">
        <v>1.4196501E7</v>
      </c>
      <c r="O1056" s="79">
        <v>1.2075795E7</v>
      </c>
      <c r="P1056" s="79" t="s">
        <v>255</v>
      </c>
    </row>
    <row r="1057">
      <c r="J1057" s="79" t="s">
        <v>1399</v>
      </c>
      <c r="K1057" t="str">
        <f>E55</f>
        <v>S1a2a</v>
      </c>
      <c r="M1057" s="79"/>
      <c r="N1057" s="79">
        <v>1.4270579E7</v>
      </c>
      <c r="O1057" s="79">
        <v>1.2149873E7</v>
      </c>
      <c r="P1057" s="79" t="s">
        <v>221</v>
      </c>
    </row>
    <row r="1058">
      <c r="J1058" s="35" t="s">
        <v>1400</v>
      </c>
      <c r="K1058" t="str">
        <f>E55</f>
        <v>S1a2a</v>
      </c>
      <c r="L1058" s="35" t="s">
        <v>1401</v>
      </c>
      <c r="M1058" s="79"/>
      <c r="N1058" s="79">
        <v>1.4472977E7</v>
      </c>
      <c r="O1058" s="79">
        <v>1.2352246E7</v>
      </c>
      <c r="P1058" s="79" t="s">
        <v>221</v>
      </c>
    </row>
    <row r="1059">
      <c r="J1059" s="79" t="s">
        <v>1401</v>
      </c>
      <c r="K1059" t="str">
        <f>E55</f>
        <v>S1a2a</v>
      </c>
      <c r="L1059" s="35" t="s">
        <v>1400</v>
      </c>
      <c r="M1059" s="79"/>
      <c r="N1059" s="79">
        <v>1.4472977E7</v>
      </c>
      <c r="O1059" s="79">
        <v>1.2352246E7</v>
      </c>
      <c r="P1059" s="79" t="s">
        <v>221</v>
      </c>
    </row>
    <row r="1060">
      <c r="J1060" s="79" t="s">
        <v>1402</v>
      </c>
      <c r="K1060" t="str">
        <f>E55</f>
        <v>S1a2a</v>
      </c>
      <c r="M1060" s="79"/>
      <c r="N1060" s="79">
        <v>1.6182127E7</v>
      </c>
      <c r="O1060" s="79">
        <v>1.4070247E7</v>
      </c>
      <c r="P1060" s="79" t="s">
        <v>221</v>
      </c>
    </row>
    <row r="1061">
      <c r="J1061" s="79" t="s">
        <v>1403</v>
      </c>
      <c r="K1061" t="str">
        <f>E55</f>
        <v>S1a2a</v>
      </c>
      <c r="M1061" s="79"/>
      <c r="N1061" s="79">
        <v>1.6213567E7</v>
      </c>
      <c r="O1061" s="79">
        <v>1.4101687E7</v>
      </c>
      <c r="P1061" s="79" t="s">
        <v>229</v>
      </c>
    </row>
    <row r="1062">
      <c r="J1062" s="79" t="s">
        <v>1404</v>
      </c>
      <c r="K1062" t="str">
        <f>E55</f>
        <v>S1a2a</v>
      </c>
      <c r="M1062" s="79"/>
      <c r="N1062" s="79">
        <v>1.6516156E7</v>
      </c>
      <c r="O1062" s="79">
        <v>1.4404276E7</v>
      </c>
      <c r="P1062" s="79" t="s">
        <v>255</v>
      </c>
    </row>
    <row r="1063">
      <c r="J1063" s="79" t="s">
        <v>1405</v>
      </c>
      <c r="K1063" t="str">
        <f>E55</f>
        <v>S1a2a</v>
      </c>
      <c r="M1063" s="79"/>
      <c r="N1063" s="79">
        <v>1.6520924E7</v>
      </c>
      <c r="O1063" s="79">
        <v>1.4409044E7</v>
      </c>
      <c r="P1063" s="79" t="s">
        <v>221</v>
      </c>
    </row>
    <row r="1064">
      <c r="J1064" s="79" t="s">
        <v>1406</v>
      </c>
      <c r="K1064" t="str">
        <f>E55</f>
        <v>S1a2a</v>
      </c>
      <c r="M1064" s="79"/>
      <c r="N1064" s="79">
        <v>1.6538896E7</v>
      </c>
      <c r="O1064" s="79">
        <v>1.4427016E7</v>
      </c>
      <c r="P1064" s="79" t="s">
        <v>232</v>
      </c>
    </row>
    <row r="1065">
      <c r="J1065" s="79" t="s">
        <v>1407</v>
      </c>
      <c r="K1065" t="str">
        <f>E55</f>
        <v>S1a2a</v>
      </c>
      <c r="M1065" s="79"/>
      <c r="N1065" s="79">
        <v>1.7980762E7</v>
      </c>
      <c r="O1065" s="79">
        <v>1.5868882E7</v>
      </c>
      <c r="P1065" s="79" t="s">
        <v>224</v>
      </c>
    </row>
    <row r="1066">
      <c r="J1066" s="79" t="s">
        <v>1408</v>
      </c>
      <c r="K1066" t="str">
        <f>E55</f>
        <v>S1a2a</v>
      </c>
      <c r="M1066" s="79"/>
      <c r="N1066" s="79">
        <v>1.8003401E7</v>
      </c>
      <c r="O1066" s="79">
        <v>1.5891521E7</v>
      </c>
      <c r="P1066" s="79" t="s">
        <v>219</v>
      </c>
    </row>
    <row r="1067">
      <c r="J1067" s="79" t="s">
        <v>1409</v>
      </c>
      <c r="K1067" t="str">
        <f>E55</f>
        <v>S1a2a</v>
      </c>
      <c r="M1067" s="79"/>
      <c r="N1067" s="79">
        <v>1.8059207E7</v>
      </c>
      <c r="O1067" s="79">
        <v>1.5947327E7</v>
      </c>
      <c r="P1067" s="79" t="s">
        <v>232</v>
      </c>
    </row>
    <row r="1068">
      <c r="J1068" s="79" t="s">
        <v>1410</v>
      </c>
      <c r="K1068" t="str">
        <f>E55</f>
        <v>S1a2a</v>
      </c>
      <c r="M1068" s="79"/>
      <c r="N1068" s="79">
        <v>1.8121686E7</v>
      </c>
      <c r="O1068" s="79">
        <v>1.6009806E7</v>
      </c>
      <c r="P1068" s="79" t="s">
        <v>242</v>
      </c>
    </row>
    <row r="1069">
      <c r="J1069" s="79" t="s">
        <v>1411</v>
      </c>
      <c r="K1069" t="str">
        <f>E55</f>
        <v>S1a2a</v>
      </c>
      <c r="M1069" s="79"/>
      <c r="N1069" s="79">
        <v>1.8425231E7</v>
      </c>
      <c r="O1069" s="79">
        <v>1.6313351E7</v>
      </c>
      <c r="P1069" s="79" t="s">
        <v>285</v>
      </c>
    </row>
    <row r="1070">
      <c r="J1070" s="79" t="s">
        <v>1412</v>
      </c>
      <c r="K1070" t="str">
        <f>E55</f>
        <v>S1a2a</v>
      </c>
      <c r="M1070" s="79"/>
      <c r="N1070" s="79">
        <v>1.8848843E7</v>
      </c>
      <c r="O1070" s="79">
        <v>1.6736963E7</v>
      </c>
      <c r="P1070" s="79" t="s">
        <v>235</v>
      </c>
    </row>
    <row r="1071">
      <c r="J1071" s="79" t="s">
        <v>1413</v>
      </c>
      <c r="K1071" t="str">
        <f>E55</f>
        <v>S1a2a</v>
      </c>
      <c r="M1071" s="79"/>
      <c r="N1071" s="79">
        <v>1.9088033E7</v>
      </c>
      <c r="O1071" s="79">
        <v>1.6976153E7</v>
      </c>
      <c r="P1071" s="79" t="s">
        <v>219</v>
      </c>
    </row>
    <row r="1072">
      <c r="J1072" s="79" t="s">
        <v>1414</v>
      </c>
      <c r="K1072" t="str">
        <f>E55</f>
        <v>S1a2a</v>
      </c>
      <c r="M1072" s="79"/>
      <c r="N1072" s="79">
        <v>2.1297349E7</v>
      </c>
      <c r="O1072" s="79">
        <v>1.9135463E7</v>
      </c>
      <c r="P1072" s="79" t="s">
        <v>229</v>
      </c>
    </row>
    <row r="1073">
      <c r="J1073" s="79" t="s">
        <v>1415</v>
      </c>
      <c r="K1073" t="str">
        <f>E55</f>
        <v>S1a2a</v>
      </c>
      <c r="M1073" s="79"/>
      <c r="N1073" s="79">
        <v>2.2513822E7</v>
      </c>
      <c r="O1073" s="79">
        <v>2.0351936E7</v>
      </c>
      <c r="P1073" s="79" t="s">
        <v>283</v>
      </c>
    </row>
    <row r="1074">
      <c r="J1074" s="79" t="s">
        <v>1416</v>
      </c>
      <c r="K1074" t="str">
        <f>E55</f>
        <v>S1a2a</v>
      </c>
      <c r="M1074" s="79"/>
      <c r="N1074" s="79">
        <v>2.3651467E7</v>
      </c>
      <c r="O1074" s="79">
        <v>2.1489581E7</v>
      </c>
      <c r="P1074" s="79" t="s">
        <v>219</v>
      </c>
    </row>
    <row r="1075">
      <c r="J1075" s="79" t="s">
        <v>1417</v>
      </c>
      <c r="K1075" t="str">
        <f>E55</f>
        <v>S1a2a</v>
      </c>
      <c r="M1075" s="79"/>
      <c r="N1075" s="79">
        <v>2.3737667E7</v>
      </c>
      <c r="O1075" s="79">
        <v>2.1575781E7</v>
      </c>
      <c r="P1075" s="79" t="s">
        <v>302</v>
      </c>
    </row>
    <row r="1076">
      <c r="J1076" s="79" t="s">
        <v>1418</v>
      </c>
      <c r="K1076" t="str">
        <f>E55</f>
        <v>S1a2a</v>
      </c>
      <c r="M1076" s="79"/>
      <c r="N1076" s="79">
        <v>2.3953602E7</v>
      </c>
      <c r="O1076" s="79">
        <v>2.1807455E7</v>
      </c>
      <c r="P1076" s="79" t="s">
        <v>242</v>
      </c>
    </row>
    <row r="1077">
      <c r="J1077" s="79" t="s">
        <v>1419</v>
      </c>
      <c r="K1077" t="str">
        <f>E55</f>
        <v>S1a2a</v>
      </c>
      <c r="M1077" s="79"/>
      <c r="N1077" s="79">
        <v>2.3953864E7</v>
      </c>
      <c r="O1077" s="79">
        <v>2.1807717E7</v>
      </c>
      <c r="P1077" s="79" t="s">
        <v>229</v>
      </c>
    </row>
    <row r="1078">
      <c r="J1078" s="79" t="s">
        <v>1420</v>
      </c>
      <c r="K1078" t="str">
        <f>E55</f>
        <v>S1a2a</v>
      </c>
      <c r="M1078" s="79"/>
      <c r="N1078" s="79">
        <v>2.3993043E7</v>
      </c>
      <c r="O1078" s="79">
        <v>2.1846896E7</v>
      </c>
      <c r="P1078" s="79" t="s">
        <v>283</v>
      </c>
    </row>
    <row r="1079">
      <c r="J1079" s="79" t="s">
        <v>1421</v>
      </c>
      <c r="K1079" t="str">
        <f>E55</f>
        <v>S1a2a</v>
      </c>
      <c r="M1079" s="79"/>
      <c r="N1079" s="79">
        <v>2.3993594E7</v>
      </c>
      <c r="O1079" s="79">
        <v>2.1847447E7</v>
      </c>
      <c r="P1079" s="79" t="s">
        <v>224</v>
      </c>
    </row>
    <row r="1080">
      <c r="J1080" s="79" t="s">
        <v>1422</v>
      </c>
      <c r="K1080" t="str">
        <f>E55</f>
        <v>S1a2a</v>
      </c>
      <c r="M1080" s="79"/>
      <c r="N1080" s="79">
        <v>2.4001077E7</v>
      </c>
      <c r="O1080" s="79">
        <v>2.185493E7</v>
      </c>
      <c r="P1080" s="79" t="s">
        <v>229</v>
      </c>
    </row>
    <row r="1081">
      <c r="J1081" s="79" t="s">
        <v>1423</v>
      </c>
      <c r="K1081" t="str">
        <f>E55</f>
        <v>S1a2a</v>
      </c>
      <c r="M1081" s="79"/>
      <c r="N1081" s="79">
        <v>2.4434664E7</v>
      </c>
      <c r="O1081" s="79">
        <v>2.2288517E7</v>
      </c>
      <c r="P1081" s="79" t="s">
        <v>232</v>
      </c>
    </row>
    <row r="1082">
      <c r="J1082" s="79" t="s">
        <v>1424</v>
      </c>
      <c r="K1082" t="str">
        <f>E55</f>
        <v>S1a2a</v>
      </c>
      <c r="M1082" s="79"/>
      <c r="N1082" s="79">
        <v>2.8613955E7</v>
      </c>
      <c r="O1082" s="79">
        <v>2.6467808E7</v>
      </c>
      <c r="P1082" s="79" t="s">
        <v>232</v>
      </c>
    </row>
    <row r="1083">
      <c r="J1083" s="79" t="s">
        <v>1425</v>
      </c>
      <c r="K1083" t="str">
        <f>E55</f>
        <v>S1a2a</v>
      </c>
      <c r="M1083" s="79"/>
      <c r="N1083" s="79">
        <v>2.869446E7</v>
      </c>
      <c r="O1083" s="79">
        <v>2.6548313E7</v>
      </c>
      <c r="P1083" s="79" t="s">
        <v>242</v>
      </c>
    </row>
    <row r="1084">
      <c r="J1084" s="79" t="s">
        <v>1426</v>
      </c>
      <c r="K1084" t="str">
        <f>E55</f>
        <v>S1a2a</v>
      </c>
      <c r="M1084" s="79"/>
      <c r="N1084" s="79">
        <v>2.8713141E7</v>
      </c>
      <c r="O1084" s="79">
        <v>2.6566994E7</v>
      </c>
      <c r="P1084" s="79" t="s">
        <v>221</v>
      </c>
    </row>
    <row r="1085">
      <c r="J1085" s="79" t="s">
        <v>1427</v>
      </c>
      <c r="K1085" t="str">
        <f>E55</f>
        <v>S1a2a</v>
      </c>
      <c r="M1085" s="79"/>
      <c r="N1085" s="79">
        <v>4778113.0</v>
      </c>
      <c r="O1085" s="79">
        <v>4910072.0</v>
      </c>
      <c r="P1085" s="79" t="s">
        <v>229</v>
      </c>
    </row>
    <row r="1086">
      <c r="J1086" s="79" t="s">
        <v>1428</v>
      </c>
      <c r="K1086" t="str">
        <f>E55</f>
        <v>S1a2a</v>
      </c>
      <c r="M1086" s="79"/>
      <c r="N1086" s="79">
        <v>4995250.0</v>
      </c>
      <c r="O1086" s="79">
        <v>5127209.0</v>
      </c>
      <c r="P1086" s="79" t="s">
        <v>235</v>
      </c>
    </row>
    <row r="1087">
      <c r="J1087" s="79" t="s">
        <v>1429</v>
      </c>
      <c r="K1087" t="str">
        <f>E55</f>
        <v>S1a2a</v>
      </c>
      <c r="M1087" s="79"/>
      <c r="N1087" s="79">
        <v>1.4142379E7</v>
      </c>
      <c r="O1087" s="79">
        <v>1.2021673E7</v>
      </c>
      <c r="P1087" s="79" t="s">
        <v>219</v>
      </c>
    </row>
    <row r="1088">
      <c r="J1088" s="79" t="s">
        <v>1430</v>
      </c>
      <c r="K1088" t="str">
        <f>E55</f>
        <v>S1a2a</v>
      </c>
      <c r="M1088" s="79"/>
      <c r="N1088" s="79">
        <v>1.4312135E7</v>
      </c>
      <c r="O1088" s="79">
        <v>1.2191429E7</v>
      </c>
      <c r="P1088" s="79" t="s">
        <v>232</v>
      </c>
    </row>
    <row r="1089">
      <c r="J1089" s="79" t="s">
        <v>1431</v>
      </c>
      <c r="K1089" t="str">
        <f>E55</f>
        <v>S1a2a</v>
      </c>
      <c r="M1089" s="79"/>
      <c r="N1089" s="79">
        <v>1.467144E7</v>
      </c>
      <c r="O1089" s="79">
        <v>1.2559506E7</v>
      </c>
      <c r="P1089" s="79" t="s">
        <v>235</v>
      </c>
    </row>
    <row r="1090">
      <c r="J1090" s="79" t="s">
        <v>1432</v>
      </c>
      <c r="K1090" t="str">
        <f>E55</f>
        <v>S1a2a</v>
      </c>
      <c r="M1090" s="79"/>
      <c r="N1090" s="79">
        <v>1.8874482E7</v>
      </c>
      <c r="O1090" s="79">
        <v>1.6762602E7</v>
      </c>
      <c r="P1090" s="79" t="s">
        <v>221</v>
      </c>
    </row>
    <row r="1091">
      <c r="J1091" s="79" t="s">
        <v>1433</v>
      </c>
      <c r="K1091" t="str">
        <f>E55</f>
        <v>S1a2a</v>
      </c>
      <c r="M1091" s="79"/>
      <c r="N1091" s="79">
        <v>2.8780074E7</v>
      </c>
      <c r="O1091" s="79">
        <v>2.6633927E7</v>
      </c>
      <c r="P1091" s="79" t="s">
        <v>232</v>
      </c>
    </row>
    <row r="1092">
      <c r="J1092" s="79" t="s">
        <v>1434</v>
      </c>
      <c r="K1092" t="str">
        <f>E55</f>
        <v>S1a2a</v>
      </c>
      <c r="M1092" s="79"/>
      <c r="N1092" s="79">
        <v>1.3804354E7</v>
      </c>
      <c r="O1092" s="79">
        <v>1.1683648E7</v>
      </c>
      <c r="P1092" s="79" t="s">
        <v>235</v>
      </c>
    </row>
    <row r="1093">
      <c r="J1093" s="79" t="s">
        <v>1435</v>
      </c>
      <c r="K1093" t="str">
        <f>E55</f>
        <v>S1a2a</v>
      </c>
      <c r="M1093" s="79"/>
      <c r="N1093" s="79">
        <v>1.371713E7</v>
      </c>
      <c r="O1093" s="79">
        <v>1.1561454E7</v>
      </c>
      <c r="P1093" s="79" t="s">
        <v>229</v>
      </c>
    </row>
    <row r="1094">
      <c r="J1094" s="79" t="s">
        <v>1436</v>
      </c>
      <c r="K1094" t="str">
        <f>E55</f>
        <v>S1a2a</v>
      </c>
      <c r="M1094" s="79"/>
      <c r="N1094" s="79">
        <v>1.3657296E7</v>
      </c>
      <c r="O1094" s="79">
        <v>1.150162E7</v>
      </c>
      <c r="P1094" s="79" t="s">
        <v>221</v>
      </c>
    </row>
    <row r="1095">
      <c r="J1095" s="79" t="s">
        <v>1437</v>
      </c>
      <c r="K1095" t="str">
        <f>E55</f>
        <v>S1a2a</v>
      </c>
      <c r="M1095" s="79"/>
      <c r="N1095" s="79">
        <v>1.3614252E7</v>
      </c>
      <c r="O1095" s="79">
        <v>1.1458576E7</v>
      </c>
      <c r="P1095" s="79" t="s">
        <v>219</v>
      </c>
    </row>
    <row r="1096">
      <c r="J1096" s="79" t="s">
        <v>1438</v>
      </c>
      <c r="K1096" t="str">
        <f>E55</f>
        <v>S1a2a</v>
      </c>
      <c r="M1096" s="79"/>
      <c r="N1096" s="79">
        <v>1.3611493E7</v>
      </c>
      <c r="O1096" s="79">
        <v>1.1455817E7</v>
      </c>
      <c r="P1096" s="79" t="s">
        <v>302</v>
      </c>
    </row>
    <row r="1097">
      <c r="J1097" s="79" t="s">
        <v>1439</v>
      </c>
      <c r="K1097" t="str">
        <f>E55</f>
        <v>S1a2a</v>
      </c>
      <c r="M1097" s="79"/>
      <c r="N1097" s="79">
        <v>1.3603996E7</v>
      </c>
      <c r="O1097" s="79">
        <v>1.144832E7</v>
      </c>
      <c r="P1097" s="79" t="s">
        <v>242</v>
      </c>
    </row>
    <row r="1098">
      <c r="J1098" s="79" t="s">
        <v>1440</v>
      </c>
      <c r="K1098" t="str">
        <f>E55</f>
        <v>S1a2a</v>
      </c>
      <c r="M1098" s="79"/>
      <c r="N1098" s="79">
        <v>1.33047E7</v>
      </c>
      <c r="O1098" s="79">
        <v>1.1149024E7</v>
      </c>
      <c r="P1098" s="79" t="s">
        <v>242</v>
      </c>
    </row>
    <row r="1099">
      <c r="J1099" s="79" t="s">
        <v>1441</v>
      </c>
      <c r="K1099" t="str">
        <f>E55</f>
        <v>S1a2a</v>
      </c>
      <c r="M1099" s="79"/>
      <c r="N1099" s="79">
        <v>1.3236061E7</v>
      </c>
      <c r="O1099" s="79">
        <v>1.1080385E7</v>
      </c>
      <c r="P1099" s="79" t="s">
        <v>219</v>
      </c>
    </row>
    <row r="1100">
      <c r="J1100" s="79" t="s">
        <v>1442</v>
      </c>
      <c r="K1100" t="str">
        <f>E55</f>
        <v>S1a2a</v>
      </c>
      <c r="M1100" s="79"/>
      <c r="N1100" s="79">
        <v>1.3209877E7</v>
      </c>
      <c r="O1100" s="79">
        <v>1.1054201E7</v>
      </c>
      <c r="P1100" s="79" t="s">
        <v>221</v>
      </c>
    </row>
    <row r="1101">
      <c r="J1101" s="79" t="s">
        <v>1443</v>
      </c>
      <c r="K1101" t="str">
        <f>E55</f>
        <v>S1a2a</v>
      </c>
      <c r="M1101" s="79"/>
      <c r="N1101" s="79">
        <v>1.3198718E7</v>
      </c>
      <c r="O1101" s="79">
        <v>1.1043042E7</v>
      </c>
      <c r="P1101" s="79" t="s">
        <v>255</v>
      </c>
    </row>
    <row r="1102">
      <c r="J1102" s="79" t="s">
        <v>1444</v>
      </c>
      <c r="K1102" t="str">
        <f>E55</f>
        <v>S1a2a</v>
      </c>
      <c r="M1102" s="79"/>
      <c r="N1102" s="79">
        <v>1.3132325E7</v>
      </c>
      <c r="O1102" s="79">
        <v>1.0621811E7</v>
      </c>
      <c r="P1102" s="79" t="s">
        <v>283</v>
      </c>
    </row>
    <row r="1103">
      <c r="J1103" s="79" t="s">
        <v>1445</v>
      </c>
      <c r="K1103" t="str">
        <f>E55</f>
        <v>S1a2a</v>
      </c>
      <c r="M1103" s="79"/>
      <c r="N1103" s="79">
        <v>1.007954E7</v>
      </c>
      <c r="O1103" s="79">
        <v>1.0241931E7</v>
      </c>
      <c r="P1103" s="79" t="s">
        <v>229</v>
      </c>
    </row>
    <row r="1104">
      <c r="J1104" s="79" t="s">
        <v>1446</v>
      </c>
      <c r="K1104" t="str">
        <f>E55</f>
        <v>S1a2a</v>
      </c>
      <c r="M1104" s="79"/>
      <c r="N1104" s="79">
        <v>1.0035089E7</v>
      </c>
      <c r="O1104" s="79">
        <v>1.019748E7</v>
      </c>
      <c r="P1104" s="79" t="s">
        <v>242</v>
      </c>
    </row>
    <row r="1105">
      <c r="J1105" s="79" t="s">
        <v>1447</v>
      </c>
      <c r="K1105" t="str">
        <f>E55</f>
        <v>S1a2a</v>
      </c>
      <c r="M1105" s="79"/>
      <c r="N1105" s="79">
        <v>9994726.0</v>
      </c>
      <c r="O1105" s="79">
        <v>1.0157117E7</v>
      </c>
      <c r="P1105" s="79" t="s">
        <v>216</v>
      </c>
    </row>
    <row r="1106">
      <c r="J1106" s="79" t="s">
        <v>1448</v>
      </c>
      <c r="K1106" t="str">
        <f>E55</f>
        <v>S1a2a</v>
      </c>
      <c r="M1106" s="79"/>
      <c r="N1106" s="79">
        <v>9978418.0</v>
      </c>
      <c r="O1106" s="79">
        <v>1.0140809E7</v>
      </c>
      <c r="P1106" s="79" t="s">
        <v>232</v>
      </c>
    </row>
    <row r="1107">
      <c r="J1107" s="79" t="s">
        <v>1449</v>
      </c>
      <c r="K1107" t="str">
        <f>E55</f>
        <v>S1a2a</v>
      </c>
      <c r="M1107" s="79"/>
      <c r="N1107" s="79">
        <v>1.3493196E7</v>
      </c>
      <c r="O1107" s="79">
        <v>1.133752E7</v>
      </c>
      <c r="P1107" s="79" t="s">
        <v>219</v>
      </c>
    </row>
    <row r="1108">
      <c r="J1108" s="79" t="s">
        <v>1450</v>
      </c>
      <c r="K1108" t="str">
        <f>E55</f>
        <v>S1a2a</v>
      </c>
      <c r="M1108" s="79"/>
      <c r="N1108" s="79">
        <v>1.3521013E7</v>
      </c>
      <c r="O1108" s="79">
        <v>1.1365337E7</v>
      </c>
      <c r="P1108" s="79" t="s">
        <v>229</v>
      </c>
    </row>
    <row r="1109">
      <c r="J1109" s="79" t="s">
        <v>1451</v>
      </c>
      <c r="K1109" t="str">
        <f>E55</f>
        <v>S1a2a</v>
      </c>
      <c r="M1109" s="79"/>
      <c r="N1109" s="79">
        <v>1.3504976E7</v>
      </c>
      <c r="O1109" s="79">
        <v>1.13493E7</v>
      </c>
      <c r="P1109" s="79" t="s">
        <v>221</v>
      </c>
    </row>
    <row r="1110">
      <c r="J1110" s="79" t="s">
        <v>1452</v>
      </c>
      <c r="K1110" t="str">
        <f>E55</f>
        <v>S1a2a</v>
      </c>
      <c r="M1110" s="79"/>
      <c r="N1110" s="79">
        <v>1.3504225E7</v>
      </c>
      <c r="O1110" s="79">
        <v>1.1348549E7</v>
      </c>
      <c r="P1110" s="79" t="s">
        <v>285</v>
      </c>
    </row>
    <row r="1111">
      <c r="J1111" s="79" t="s">
        <v>1453</v>
      </c>
      <c r="K1111" t="str">
        <f>E55</f>
        <v>S1a2a</v>
      </c>
      <c r="L1111" s="79" t="s">
        <v>1454</v>
      </c>
      <c r="M1111" s="79" t="s">
        <v>1455</v>
      </c>
      <c r="N1111" s="79">
        <v>8510540.0</v>
      </c>
      <c r="O1111" s="79">
        <v>8642499.0</v>
      </c>
      <c r="P1111" s="79" t="s">
        <v>221</v>
      </c>
    </row>
    <row r="1112">
      <c r="J1112" s="79" t="s">
        <v>1454</v>
      </c>
      <c r="K1112" t="str">
        <f>E55</f>
        <v>S1a2a</v>
      </c>
      <c r="L1112" s="79" t="s">
        <v>1453</v>
      </c>
      <c r="M1112" s="79" t="s">
        <v>1455</v>
      </c>
      <c r="N1112" s="79">
        <v>8510540.0</v>
      </c>
      <c r="O1112" s="79">
        <v>8642499.0</v>
      </c>
      <c r="P1112" s="79" t="s">
        <v>221</v>
      </c>
    </row>
    <row r="1113">
      <c r="J1113" s="79" t="s">
        <v>1456</v>
      </c>
      <c r="K1113" t="str">
        <f>E55</f>
        <v>S1a2a</v>
      </c>
      <c r="M1113" s="79" t="s">
        <v>1457</v>
      </c>
      <c r="N1113" s="79">
        <v>1.6250625E7</v>
      </c>
      <c r="O1113" s="79">
        <v>1.4138745E7</v>
      </c>
      <c r="P1113" s="79" t="s">
        <v>235</v>
      </c>
    </row>
    <row r="1114">
      <c r="J1114" s="79" t="s">
        <v>1458</v>
      </c>
      <c r="K1114" t="str">
        <f>E55</f>
        <v>S1a2a</v>
      </c>
      <c r="M1114" s="79"/>
      <c r="N1114" s="79">
        <v>2.3527956E7</v>
      </c>
      <c r="O1114" s="79">
        <v>2.136607E7</v>
      </c>
      <c r="P1114" s="79" t="s">
        <v>232</v>
      </c>
    </row>
    <row r="1115">
      <c r="J1115" s="79" t="s">
        <v>1459</v>
      </c>
      <c r="K1115" t="str">
        <f>E55</f>
        <v>S1a2a</v>
      </c>
      <c r="M1115" t="s">
        <v>1460</v>
      </c>
      <c r="N1115">
        <v>6740377.0</v>
      </c>
      <c r="O1115">
        <v>6872336.0</v>
      </c>
      <c r="P1115" t="s">
        <v>219</v>
      </c>
    </row>
    <row r="1116">
      <c r="J1116" s="79" t="s">
        <v>1461</v>
      </c>
      <c r="K1116" t="str">
        <f>E55</f>
        <v>S1a2a</v>
      </c>
      <c r="M1116" s="79"/>
      <c r="N1116" s="79">
        <v>8494910.0</v>
      </c>
      <c r="O1116" s="79">
        <v>8626869.0</v>
      </c>
      <c r="P1116" s="79" t="s">
        <v>221</v>
      </c>
    </row>
    <row r="1117">
      <c r="J1117" s="79" t="s">
        <v>1462</v>
      </c>
      <c r="K1117" t="str">
        <f>E55</f>
        <v>S1a2a</v>
      </c>
      <c r="M1117" s="79"/>
      <c r="N1117" s="79">
        <v>1.9158507E7</v>
      </c>
      <c r="O1117" s="79">
        <v>1.7046627E7</v>
      </c>
      <c r="P1117" s="79" t="s">
        <v>232</v>
      </c>
    </row>
    <row r="1118">
      <c r="J1118" s="79" t="s">
        <v>1463</v>
      </c>
      <c r="K1118" t="str">
        <f>E55</f>
        <v>S1a2a</v>
      </c>
      <c r="M1118" s="79"/>
      <c r="N1118" s="79">
        <v>1.3807875E7</v>
      </c>
      <c r="O1118" s="79">
        <v>1.1687169E7</v>
      </c>
      <c r="P1118" s="79" t="s">
        <v>221</v>
      </c>
    </row>
    <row r="1119">
      <c r="J1119" s="79" t="s">
        <v>1464</v>
      </c>
      <c r="K1119" t="str">
        <f t="shared" ref="K1119:K1120" si="9">E55</f>
        <v>S1a2a</v>
      </c>
      <c r="M1119" s="79"/>
      <c r="N1119" s="79">
        <v>4254527.0</v>
      </c>
      <c r="O1119" s="79">
        <v>4386486.0</v>
      </c>
      <c r="P1119" s="79" t="s">
        <v>216</v>
      </c>
    </row>
    <row r="1120">
      <c r="J1120" s="79" t="s">
        <v>1465</v>
      </c>
      <c r="K1120" t="str">
        <f t="shared" si="9"/>
        <v>S1a2b~</v>
      </c>
      <c r="N1120">
        <v>1.4375257E7</v>
      </c>
      <c r="O1120">
        <v>1.2254553E7</v>
      </c>
      <c r="P1120" t="s">
        <v>232</v>
      </c>
    </row>
    <row r="1121">
      <c r="J1121" s="79" t="s">
        <v>1466</v>
      </c>
      <c r="K1121" t="str">
        <f>E56</f>
        <v>S1a2b~</v>
      </c>
      <c r="L1121" s="79" t="s">
        <v>1467</v>
      </c>
      <c r="N1121">
        <v>6740065.0</v>
      </c>
      <c r="O1121">
        <v>6872024.0</v>
      </c>
      <c r="P1121" t="s">
        <v>216</v>
      </c>
    </row>
    <row r="1122">
      <c r="J1122" s="79" t="s">
        <v>1467</v>
      </c>
      <c r="K1122" t="str">
        <f>E56</f>
        <v>S1a2b~</v>
      </c>
      <c r="L1122" s="79" t="s">
        <v>1466</v>
      </c>
      <c r="N1122">
        <v>6740065.0</v>
      </c>
      <c r="O1122">
        <v>6872024.0</v>
      </c>
      <c r="P1122" t="s">
        <v>216</v>
      </c>
    </row>
    <row r="1123">
      <c r="J1123" s="79" t="s">
        <v>1468</v>
      </c>
      <c r="K1123" t="str">
        <f>E56</f>
        <v>S1a2b~</v>
      </c>
      <c r="N1123">
        <v>2.1398628E7</v>
      </c>
      <c r="O1123">
        <v>1.9236742E7</v>
      </c>
      <c r="P1123" t="s">
        <v>221</v>
      </c>
    </row>
    <row r="1124">
      <c r="J1124" s="79" t="s">
        <v>1469</v>
      </c>
      <c r="K1124" t="str">
        <f>E56</f>
        <v>S1a2b~</v>
      </c>
      <c r="L1124" s="79" t="s">
        <v>1470</v>
      </c>
      <c r="N1124">
        <v>6860098.0</v>
      </c>
      <c r="O1124">
        <v>6992057.0</v>
      </c>
      <c r="P1124" t="s">
        <v>221</v>
      </c>
    </row>
    <row r="1125">
      <c r="J1125" s="79" t="s">
        <v>1470</v>
      </c>
      <c r="K1125" t="str">
        <f>E56</f>
        <v>S1a2b~</v>
      </c>
      <c r="L1125" s="35" t="s">
        <v>1469</v>
      </c>
      <c r="N1125">
        <v>6860098.0</v>
      </c>
      <c r="O1125">
        <v>6992057.0</v>
      </c>
      <c r="P1125" t="s">
        <v>221</v>
      </c>
    </row>
    <row r="1126">
      <c r="J1126" s="79" t="s">
        <v>1471</v>
      </c>
      <c r="K1126" t="str">
        <f>E56</f>
        <v>S1a2b~</v>
      </c>
      <c r="N1126">
        <v>2.2606739E7</v>
      </c>
      <c r="O1126">
        <v>2.0444853E7</v>
      </c>
      <c r="P1126" t="s">
        <v>232</v>
      </c>
    </row>
    <row r="1127">
      <c r="J1127" s="79" t="s">
        <v>1472</v>
      </c>
      <c r="K1127" t="str">
        <f>E56</f>
        <v>S1a2b~</v>
      </c>
      <c r="N1127">
        <v>2705327.0</v>
      </c>
      <c r="O1127">
        <v>2837286.0</v>
      </c>
      <c r="P1127" t="s">
        <v>221</v>
      </c>
    </row>
    <row r="1128">
      <c r="J1128" s="79" t="s">
        <v>1473</v>
      </c>
      <c r="K1128" t="str">
        <f>E56</f>
        <v>S1a2b~</v>
      </c>
      <c r="N1128">
        <v>2778223.0</v>
      </c>
      <c r="O1128">
        <v>2910182.0</v>
      </c>
      <c r="P1128" t="s">
        <v>255</v>
      </c>
    </row>
    <row r="1129">
      <c r="J1129" s="79" t="s">
        <v>1474</v>
      </c>
      <c r="K1129" t="str">
        <f>E56</f>
        <v>S1a2b~</v>
      </c>
      <c r="N1129">
        <v>2790440.0</v>
      </c>
      <c r="O1129">
        <v>2922399.0</v>
      </c>
      <c r="P1129" t="s">
        <v>232</v>
      </c>
    </row>
    <row r="1130">
      <c r="J1130" s="79" t="s">
        <v>1475</v>
      </c>
      <c r="K1130" t="str">
        <f>E56</f>
        <v>S1a2b~</v>
      </c>
      <c r="N1130">
        <v>6965731.0</v>
      </c>
      <c r="O1130">
        <v>7097690.0</v>
      </c>
      <c r="P1130" t="s">
        <v>232</v>
      </c>
    </row>
    <row r="1131">
      <c r="J1131" s="79" t="s">
        <v>1476</v>
      </c>
      <c r="K1131" t="str">
        <f>E56</f>
        <v>S1a2b~</v>
      </c>
      <c r="N1131">
        <v>7065835.0</v>
      </c>
      <c r="O1131">
        <v>7197794.0</v>
      </c>
      <c r="P1131" t="s">
        <v>221</v>
      </c>
    </row>
    <row r="1132">
      <c r="J1132" s="79" t="s">
        <v>1477</v>
      </c>
      <c r="K1132" t="str">
        <f>E56</f>
        <v>S1a2b~</v>
      </c>
      <c r="N1132">
        <v>7094804.0</v>
      </c>
      <c r="O1132">
        <v>7226763.0</v>
      </c>
      <c r="P1132" t="s">
        <v>255</v>
      </c>
    </row>
    <row r="1133">
      <c r="J1133" s="79" t="s">
        <v>1478</v>
      </c>
      <c r="K1133" t="str">
        <f>E56</f>
        <v>S1a2b~</v>
      </c>
      <c r="N1133">
        <v>7923054.0</v>
      </c>
      <c r="O1133">
        <v>8055013.0</v>
      </c>
      <c r="P1133" t="s">
        <v>221</v>
      </c>
    </row>
    <row r="1134">
      <c r="J1134" s="79" t="s">
        <v>1479</v>
      </c>
      <c r="K1134" t="str">
        <f>E56</f>
        <v>S1a2b~</v>
      </c>
      <c r="N1134">
        <v>8289379.0</v>
      </c>
      <c r="O1134">
        <v>8421338.0</v>
      </c>
      <c r="P1134" t="s">
        <v>221</v>
      </c>
    </row>
    <row r="1135">
      <c r="J1135" s="79" t="s">
        <v>1480</v>
      </c>
      <c r="K1135" t="str">
        <f>E56</f>
        <v>S1a2b~</v>
      </c>
      <c r="N1135">
        <v>8381874.0</v>
      </c>
      <c r="O1135">
        <v>8513833.0</v>
      </c>
      <c r="P1135" t="s">
        <v>232</v>
      </c>
    </row>
    <row r="1136">
      <c r="J1136" s="79" t="s">
        <v>1481</v>
      </c>
      <c r="K1136" t="str">
        <f>E56</f>
        <v>S1a2b~</v>
      </c>
      <c r="N1136">
        <v>8647252.0</v>
      </c>
      <c r="O1136">
        <v>8779211.0</v>
      </c>
      <c r="P1136" t="s">
        <v>283</v>
      </c>
    </row>
    <row r="1137">
      <c r="J1137" s="79" t="s">
        <v>1482</v>
      </c>
      <c r="K1137" t="str">
        <f>E56</f>
        <v>S1a2b~</v>
      </c>
      <c r="N1137">
        <v>8826637.0</v>
      </c>
      <c r="O1137">
        <v>8958596.0</v>
      </c>
      <c r="P1137" t="s">
        <v>221</v>
      </c>
    </row>
    <row r="1138">
      <c r="J1138" s="79" t="s">
        <v>1483</v>
      </c>
      <c r="K1138" t="str">
        <f>E56</f>
        <v>S1a2b~</v>
      </c>
      <c r="M1138" s="79" t="s">
        <v>1484</v>
      </c>
      <c r="N1138">
        <v>8877821.0</v>
      </c>
      <c r="O1138">
        <v>9009780.0</v>
      </c>
      <c r="P1138" t="s">
        <v>232</v>
      </c>
    </row>
    <row r="1139">
      <c r="J1139" s="79" t="s">
        <v>1485</v>
      </c>
      <c r="K1139" t="str">
        <f>E56</f>
        <v>S1a2b~</v>
      </c>
      <c r="N1139">
        <v>9098551.0</v>
      </c>
      <c r="O1139">
        <v>9260942.0</v>
      </c>
      <c r="P1139" t="s">
        <v>219</v>
      </c>
    </row>
    <row r="1140">
      <c r="J1140" s="79" t="s">
        <v>1486</v>
      </c>
      <c r="K1140" t="str">
        <f>E56</f>
        <v>S1a2b~</v>
      </c>
      <c r="N1140">
        <v>9436620.0</v>
      </c>
      <c r="O1140">
        <v>9599011.0</v>
      </c>
      <c r="P1140" t="s">
        <v>232</v>
      </c>
    </row>
    <row r="1141">
      <c r="J1141" s="79" t="s">
        <v>1487</v>
      </c>
      <c r="K1141" t="str">
        <f>E56</f>
        <v>S1a2b~</v>
      </c>
      <c r="N1141">
        <v>9836728.0</v>
      </c>
      <c r="O1141">
        <v>9999119.0</v>
      </c>
      <c r="P1141" t="s">
        <v>221</v>
      </c>
    </row>
    <row r="1142">
      <c r="J1142" s="79" t="s">
        <v>1488</v>
      </c>
      <c r="K1142" t="str">
        <f>E56</f>
        <v>S1a2b~</v>
      </c>
      <c r="N1142">
        <v>1.4076907E7</v>
      </c>
      <c r="O1142">
        <v>1.1956201E7</v>
      </c>
      <c r="P1142" t="s">
        <v>255</v>
      </c>
    </row>
    <row r="1143">
      <c r="J1143" s="79" t="s">
        <v>1489</v>
      </c>
      <c r="K1143" t="str">
        <f>E56</f>
        <v>S1a2b~</v>
      </c>
      <c r="N1143">
        <v>1.4168944E7</v>
      </c>
      <c r="O1143">
        <v>1.2048238E7</v>
      </c>
      <c r="P1143" t="s">
        <v>232</v>
      </c>
    </row>
    <row r="1144">
      <c r="J1144" s="79" t="s">
        <v>1490</v>
      </c>
      <c r="K1144" t="str">
        <f>E56</f>
        <v>S1a2b~</v>
      </c>
      <c r="N1144">
        <v>1.4279312E7</v>
      </c>
      <c r="O1144">
        <v>1.2158606E7</v>
      </c>
      <c r="P1144" t="s">
        <v>221</v>
      </c>
    </row>
    <row r="1145">
      <c r="J1145" s="79" t="s">
        <v>1491</v>
      </c>
      <c r="K1145" t="str">
        <f>E56</f>
        <v>S1a2b~</v>
      </c>
      <c r="N1145">
        <v>1.4512451E7</v>
      </c>
      <c r="O1145">
        <v>1.2400656E7</v>
      </c>
      <c r="P1145" t="s">
        <v>221</v>
      </c>
    </row>
    <row r="1146">
      <c r="J1146" s="79" t="s">
        <v>1492</v>
      </c>
      <c r="K1146" t="str">
        <f>E56</f>
        <v>S1a2b~</v>
      </c>
      <c r="N1146">
        <v>1.4527257E7</v>
      </c>
      <c r="O1146">
        <v>1.2415458E7</v>
      </c>
      <c r="P1146" t="s">
        <v>255</v>
      </c>
    </row>
    <row r="1147">
      <c r="J1147" s="79" t="s">
        <v>1493</v>
      </c>
      <c r="K1147" t="str">
        <f>E56</f>
        <v>S1a2b~</v>
      </c>
      <c r="N1147">
        <v>1.4660745E7</v>
      </c>
      <c r="O1147">
        <v>1.254881E7</v>
      </c>
      <c r="P1147" t="s">
        <v>219</v>
      </c>
    </row>
    <row r="1148">
      <c r="J1148" s="79" t="s">
        <v>1494</v>
      </c>
      <c r="K1148" t="str">
        <f>E56</f>
        <v>S1a2b~</v>
      </c>
      <c r="N1148">
        <v>1.4674576E7</v>
      </c>
      <c r="O1148">
        <v>1.2562642E7</v>
      </c>
      <c r="P1148" t="s">
        <v>232</v>
      </c>
    </row>
    <row r="1149">
      <c r="J1149" s="79" t="s">
        <v>1495</v>
      </c>
      <c r="K1149" t="str">
        <f>E56</f>
        <v>S1a2b~</v>
      </c>
      <c r="N1149">
        <v>1.470072E7</v>
      </c>
      <c r="O1149">
        <v>1.2588786E7</v>
      </c>
      <c r="P1149" t="s">
        <v>255</v>
      </c>
    </row>
    <row r="1150">
      <c r="J1150" s="79" t="s">
        <v>1496</v>
      </c>
      <c r="K1150" t="str">
        <f>E56</f>
        <v>S1a2b~</v>
      </c>
      <c r="N1150">
        <v>1.471379E7</v>
      </c>
      <c r="O1150">
        <v>1.2601857E7</v>
      </c>
      <c r="P1150" t="s">
        <v>221</v>
      </c>
    </row>
    <row r="1151">
      <c r="J1151" s="79" t="s">
        <v>1497</v>
      </c>
      <c r="K1151" t="str">
        <f>E56</f>
        <v>S1a2b~</v>
      </c>
      <c r="N1151">
        <v>1.4751015E7</v>
      </c>
      <c r="O1151">
        <v>1.2639084E7</v>
      </c>
      <c r="P1151" t="s">
        <v>232</v>
      </c>
    </row>
    <row r="1152">
      <c r="J1152" s="79" t="s">
        <v>1498</v>
      </c>
      <c r="K1152" t="str">
        <f>E56</f>
        <v>S1a2b~</v>
      </c>
      <c r="N1152">
        <v>1.4757847E7</v>
      </c>
      <c r="O1152">
        <v>1.2645916E7</v>
      </c>
      <c r="P1152" t="s">
        <v>232</v>
      </c>
    </row>
    <row r="1153">
      <c r="J1153" s="79" t="s">
        <v>1499</v>
      </c>
      <c r="K1153" t="str">
        <f>E56</f>
        <v>S1a2b~</v>
      </c>
      <c r="M1153" s="79" t="s">
        <v>1500</v>
      </c>
      <c r="N1153">
        <v>1.5087253E7</v>
      </c>
      <c r="O1153">
        <v>1.2975343E7</v>
      </c>
      <c r="P1153" t="s">
        <v>221</v>
      </c>
    </row>
    <row r="1154">
      <c r="J1154" s="79" t="s">
        <v>1501</v>
      </c>
      <c r="K1154" t="str">
        <f>E56</f>
        <v>S1a2b~</v>
      </c>
      <c r="N1154">
        <v>1.5305625E7</v>
      </c>
      <c r="O1154">
        <v>1.3193724E7</v>
      </c>
      <c r="P1154" t="s">
        <v>219</v>
      </c>
    </row>
    <row r="1155">
      <c r="J1155" s="79" t="s">
        <v>1502</v>
      </c>
      <c r="K1155" t="str">
        <f>E56</f>
        <v>S1a2b~</v>
      </c>
      <c r="N1155">
        <v>1.5406369E7</v>
      </c>
      <c r="O1155">
        <v>1.3294489E7</v>
      </c>
      <c r="P1155" t="s">
        <v>219</v>
      </c>
    </row>
    <row r="1156">
      <c r="J1156" s="79" t="s">
        <v>1503</v>
      </c>
      <c r="K1156" t="str">
        <f>E56</f>
        <v>S1a2b~</v>
      </c>
      <c r="N1156">
        <v>1.5438441E7</v>
      </c>
      <c r="O1156">
        <v>1.3326561E7</v>
      </c>
      <c r="P1156" t="s">
        <v>232</v>
      </c>
    </row>
    <row r="1157">
      <c r="J1157" s="79" t="s">
        <v>1504</v>
      </c>
      <c r="K1157" t="str">
        <f>E56</f>
        <v>S1a2b~</v>
      </c>
      <c r="N1157">
        <v>1.5450934E7</v>
      </c>
      <c r="O1157">
        <v>1.3339054E7</v>
      </c>
      <c r="P1157" t="s">
        <v>221</v>
      </c>
    </row>
    <row r="1158">
      <c r="J1158" s="79" t="s">
        <v>1505</v>
      </c>
      <c r="K1158" t="str">
        <f>E56</f>
        <v>S1a2b~</v>
      </c>
      <c r="N1158">
        <v>1.545442E7</v>
      </c>
      <c r="O1158">
        <v>1.334254E7</v>
      </c>
      <c r="P1158" t="s">
        <v>229</v>
      </c>
    </row>
    <row r="1159">
      <c r="J1159" s="79" t="s">
        <v>1506</v>
      </c>
      <c r="K1159" t="str">
        <f>E56</f>
        <v>S1a2b~</v>
      </c>
      <c r="N1159">
        <v>1.5828905E7</v>
      </c>
      <c r="O1159">
        <v>1.3717025E7</v>
      </c>
      <c r="P1159" t="s">
        <v>232</v>
      </c>
    </row>
    <row r="1160">
      <c r="J1160" s="79" t="s">
        <v>1507</v>
      </c>
      <c r="K1160" t="str">
        <f>E56</f>
        <v>S1a2b~</v>
      </c>
      <c r="N1160">
        <v>1.5964849E7</v>
      </c>
      <c r="O1160">
        <v>1.3852969E7</v>
      </c>
      <c r="P1160" t="s">
        <v>255</v>
      </c>
    </row>
    <row r="1161">
      <c r="J1161" s="79" t="s">
        <v>1508</v>
      </c>
      <c r="K1161" t="str">
        <f>E56</f>
        <v>S1a2b~</v>
      </c>
      <c r="N1161">
        <v>1.6005067E7</v>
      </c>
      <c r="O1161">
        <v>1.3893187E7</v>
      </c>
      <c r="P1161" t="s">
        <v>232</v>
      </c>
    </row>
    <row r="1162">
      <c r="J1162" s="79" t="s">
        <v>1509</v>
      </c>
      <c r="K1162" t="str">
        <f>E56</f>
        <v>S1a2b~</v>
      </c>
      <c r="N1162">
        <v>1.6323209E7</v>
      </c>
      <c r="O1162">
        <v>1.4211329E7</v>
      </c>
      <c r="P1162" t="s">
        <v>224</v>
      </c>
    </row>
    <row r="1163">
      <c r="J1163" s="79" t="s">
        <v>1510</v>
      </c>
      <c r="K1163" t="str">
        <f>E56</f>
        <v>S1a2b~</v>
      </c>
      <c r="N1163">
        <v>1.6456925E7</v>
      </c>
      <c r="O1163">
        <v>1.4345045E7</v>
      </c>
      <c r="P1163" t="s">
        <v>216</v>
      </c>
    </row>
    <row r="1164">
      <c r="J1164" s="79" t="s">
        <v>1511</v>
      </c>
      <c r="K1164" t="str">
        <f>E56</f>
        <v>S1a2b~</v>
      </c>
      <c r="N1164">
        <v>1.6597847E7</v>
      </c>
      <c r="O1164">
        <v>1.4485967E7</v>
      </c>
      <c r="P1164" t="s">
        <v>219</v>
      </c>
    </row>
    <row r="1165">
      <c r="J1165" s="79" t="s">
        <v>1512</v>
      </c>
      <c r="K1165" t="str">
        <f>E56</f>
        <v>S1a2b~</v>
      </c>
      <c r="N1165">
        <v>1.6628878E7</v>
      </c>
      <c r="O1165">
        <v>1.4516998E7</v>
      </c>
      <c r="P1165" t="s">
        <v>232</v>
      </c>
    </row>
    <row r="1166">
      <c r="J1166" s="79" t="s">
        <v>1513</v>
      </c>
      <c r="K1166" t="str">
        <f>E56</f>
        <v>S1a2b~</v>
      </c>
      <c r="N1166">
        <v>1.671016E7</v>
      </c>
      <c r="O1166">
        <v>1.459828E7</v>
      </c>
      <c r="P1166" t="s">
        <v>232</v>
      </c>
    </row>
    <row r="1167">
      <c r="J1167" s="79" t="s">
        <v>1514</v>
      </c>
      <c r="K1167" t="str">
        <f>E56</f>
        <v>S1a2b~</v>
      </c>
      <c r="N1167">
        <v>1.6738842E7</v>
      </c>
      <c r="O1167">
        <v>1.4626962E7</v>
      </c>
      <c r="P1167" t="s">
        <v>232</v>
      </c>
    </row>
    <row r="1168">
      <c r="J1168" s="79" t="s">
        <v>1515</v>
      </c>
      <c r="K1168" t="str">
        <f>E56</f>
        <v>S1a2b~</v>
      </c>
      <c r="N1168">
        <v>1.6789635E7</v>
      </c>
      <c r="O1168">
        <v>1.4677755E7</v>
      </c>
      <c r="P1168" t="s">
        <v>232</v>
      </c>
    </row>
    <row r="1169">
      <c r="J1169" s="79" t="s">
        <v>1516</v>
      </c>
      <c r="K1169" t="str">
        <f>E56</f>
        <v>S1a2b~</v>
      </c>
      <c r="N1169">
        <v>1.6795318E7</v>
      </c>
      <c r="O1169">
        <v>1.4683438E7</v>
      </c>
      <c r="P1169" t="s">
        <v>219</v>
      </c>
    </row>
    <row r="1170">
      <c r="J1170" s="79" t="s">
        <v>1517</v>
      </c>
      <c r="K1170" t="str">
        <f>E56</f>
        <v>S1a2b~</v>
      </c>
      <c r="N1170">
        <v>1.6879219E7</v>
      </c>
      <c r="O1170">
        <v>1.4767339E7</v>
      </c>
      <c r="P1170" t="s">
        <v>219</v>
      </c>
    </row>
    <row r="1171">
      <c r="J1171" s="79" t="s">
        <v>1518</v>
      </c>
      <c r="K1171" t="str">
        <f>E56</f>
        <v>S1a2b~</v>
      </c>
      <c r="N1171">
        <v>1.6891413E7</v>
      </c>
      <c r="O1171">
        <v>1.4779533E7</v>
      </c>
      <c r="P1171" t="s">
        <v>216</v>
      </c>
    </row>
    <row r="1172">
      <c r="J1172" s="79" t="s">
        <v>1519</v>
      </c>
      <c r="K1172" t="str">
        <f>E56</f>
        <v>S1a2b~</v>
      </c>
      <c r="N1172">
        <v>1.7077672E7</v>
      </c>
      <c r="O1172">
        <v>1.4965792E7</v>
      </c>
      <c r="P1172" t="s">
        <v>219</v>
      </c>
    </row>
    <row r="1173">
      <c r="J1173" s="79" t="s">
        <v>1520</v>
      </c>
      <c r="K1173" t="str">
        <f>E56</f>
        <v>S1a2b~</v>
      </c>
      <c r="N1173">
        <v>1.7086436E7</v>
      </c>
      <c r="O1173">
        <v>1.4974556E7</v>
      </c>
      <c r="P1173" t="s">
        <v>283</v>
      </c>
    </row>
    <row r="1174">
      <c r="J1174" s="79" t="s">
        <v>1521</v>
      </c>
      <c r="K1174" t="str">
        <f>E56</f>
        <v>S1a2b~</v>
      </c>
      <c r="N1174">
        <v>1.7322446E7</v>
      </c>
      <c r="O1174">
        <v>1.5210566E7</v>
      </c>
      <c r="P1174" t="s">
        <v>242</v>
      </c>
    </row>
    <row r="1175">
      <c r="J1175" s="79" t="s">
        <v>1522</v>
      </c>
      <c r="K1175" t="str">
        <f>E56</f>
        <v>S1a2b~</v>
      </c>
      <c r="N1175">
        <v>1.7486133E7</v>
      </c>
      <c r="O1175">
        <v>1.5374253E7</v>
      </c>
      <c r="P1175" t="s">
        <v>229</v>
      </c>
    </row>
    <row r="1176">
      <c r="J1176" s="79" t="s">
        <v>1523</v>
      </c>
      <c r="K1176" t="str">
        <f>E56</f>
        <v>S1a2b~</v>
      </c>
      <c r="M1176" s="79" t="s">
        <v>1524</v>
      </c>
      <c r="N1176">
        <v>1.7512608E7</v>
      </c>
      <c r="O1176">
        <v>1.5400728E7</v>
      </c>
      <c r="P1176" t="s">
        <v>232</v>
      </c>
    </row>
    <row r="1177">
      <c r="J1177" s="79" t="s">
        <v>1525</v>
      </c>
      <c r="K1177" t="str">
        <f>E56</f>
        <v>S1a2b~</v>
      </c>
      <c r="N1177">
        <v>1.7627964E7</v>
      </c>
      <c r="O1177">
        <v>1.5516084E7</v>
      </c>
      <c r="P1177" t="s">
        <v>216</v>
      </c>
    </row>
    <row r="1178">
      <c r="J1178" s="79" t="s">
        <v>1526</v>
      </c>
      <c r="K1178" t="str">
        <f>E56</f>
        <v>S1a2b~</v>
      </c>
      <c r="N1178">
        <v>1.7916134E7</v>
      </c>
      <c r="O1178">
        <v>1.5804254E7</v>
      </c>
      <c r="P1178" t="s">
        <v>232</v>
      </c>
    </row>
    <row r="1179">
      <c r="J1179" s="79" t="s">
        <v>1527</v>
      </c>
      <c r="K1179" t="str">
        <f>E56</f>
        <v>S1a2b~</v>
      </c>
      <c r="N1179">
        <v>1.8583826E7</v>
      </c>
      <c r="O1179">
        <v>1.6471946E7</v>
      </c>
      <c r="P1179" t="s">
        <v>216</v>
      </c>
    </row>
    <row r="1180">
      <c r="J1180" s="79" t="s">
        <v>1528</v>
      </c>
      <c r="K1180" t="str">
        <f>E56</f>
        <v>S1a2b~</v>
      </c>
      <c r="N1180">
        <v>1.8623566E7</v>
      </c>
      <c r="O1180">
        <v>1.6511686E7</v>
      </c>
      <c r="P1180" t="s">
        <v>255</v>
      </c>
    </row>
    <row r="1181">
      <c r="J1181" s="79" t="s">
        <v>1529</v>
      </c>
      <c r="K1181" t="str">
        <f>E56</f>
        <v>S1a2b~</v>
      </c>
      <c r="N1181">
        <v>1.8768123E7</v>
      </c>
      <c r="O1181">
        <v>1.6656243E7</v>
      </c>
      <c r="P1181" t="s">
        <v>221</v>
      </c>
    </row>
    <row r="1182">
      <c r="J1182" s="79" t="s">
        <v>1530</v>
      </c>
      <c r="K1182" t="str">
        <f>E56</f>
        <v>S1a2b~</v>
      </c>
      <c r="N1182">
        <v>1.8792755E7</v>
      </c>
      <c r="O1182">
        <v>1.6680875E7</v>
      </c>
      <c r="P1182" t="s">
        <v>221</v>
      </c>
    </row>
    <row r="1183">
      <c r="J1183" s="79" t="s">
        <v>1531</v>
      </c>
      <c r="K1183" t="str">
        <f>E56</f>
        <v>S1a2b~</v>
      </c>
      <c r="N1183">
        <v>1.8795261E7</v>
      </c>
      <c r="O1183">
        <v>1.6683381E7</v>
      </c>
      <c r="P1183" t="s">
        <v>229</v>
      </c>
    </row>
    <row r="1184">
      <c r="J1184" s="79" t="s">
        <v>1532</v>
      </c>
      <c r="K1184" t="str">
        <f>E56</f>
        <v>S1a2b~</v>
      </c>
      <c r="N1184">
        <v>1.8877079E7</v>
      </c>
      <c r="O1184">
        <v>1.6765199E7</v>
      </c>
      <c r="P1184" t="s">
        <v>219</v>
      </c>
    </row>
    <row r="1185">
      <c r="J1185" s="79" t="s">
        <v>1533</v>
      </c>
      <c r="K1185" t="str">
        <f>E56</f>
        <v>S1a2b~</v>
      </c>
      <c r="N1185">
        <v>1.8902452E7</v>
      </c>
      <c r="O1185">
        <v>1.6790572E7</v>
      </c>
      <c r="P1185" t="s">
        <v>224</v>
      </c>
    </row>
    <row r="1186">
      <c r="J1186" s="79" t="s">
        <v>1534</v>
      </c>
      <c r="K1186" t="str">
        <f>E56</f>
        <v>S1a2b~</v>
      </c>
      <c r="N1186">
        <v>1.8972632E7</v>
      </c>
      <c r="O1186">
        <v>1.6860752E7</v>
      </c>
      <c r="P1186" t="s">
        <v>221</v>
      </c>
    </row>
    <row r="1187">
      <c r="J1187" s="79" t="s">
        <v>1535</v>
      </c>
      <c r="K1187" t="str">
        <f>E56</f>
        <v>S1a2b~</v>
      </c>
      <c r="N1187">
        <v>1.9330845E7</v>
      </c>
      <c r="O1187">
        <v>1.7218965E7</v>
      </c>
      <c r="P1187" t="s">
        <v>232</v>
      </c>
    </row>
    <row r="1188">
      <c r="J1188" s="79" t="s">
        <v>1536</v>
      </c>
      <c r="K1188" t="str">
        <f>E56</f>
        <v>S1a2b~</v>
      </c>
      <c r="N1188">
        <v>1.9409141E7</v>
      </c>
      <c r="O1188">
        <v>1.7297261E7</v>
      </c>
      <c r="P1188" t="s">
        <v>219</v>
      </c>
    </row>
    <row r="1189">
      <c r="J1189" s="79" t="s">
        <v>1537</v>
      </c>
      <c r="K1189" t="str">
        <f>E56</f>
        <v>S1a2b~</v>
      </c>
      <c r="N1189">
        <v>1.9425189E7</v>
      </c>
      <c r="O1189">
        <v>1.7313309E7</v>
      </c>
      <c r="P1189" t="s">
        <v>283</v>
      </c>
    </row>
    <row r="1190">
      <c r="J1190" s="79" t="s">
        <v>1538</v>
      </c>
      <c r="K1190" t="str">
        <f>E56</f>
        <v>S1a2b~</v>
      </c>
      <c r="N1190">
        <v>2.1351133E7</v>
      </c>
      <c r="O1190">
        <v>1.9189247E7</v>
      </c>
      <c r="P1190" t="s">
        <v>232</v>
      </c>
    </row>
    <row r="1191">
      <c r="J1191" s="79" t="s">
        <v>1539</v>
      </c>
      <c r="K1191" t="str">
        <f>E56</f>
        <v>S1a2b~</v>
      </c>
      <c r="N1191">
        <v>2.1360832E7</v>
      </c>
      <c r="O1191">
        <v>1.9198946E7</v>
      </c>
      <c r="P1191" t="s">
        <v>216</v>
      </c>
    </row>
    <row r="1192">
      <c r="J1192" s="79" t="s">
        <v>1540</v>
      </c>
      <c r="K1192" t="str">
        <f>E56</f>
        <v>S1a2b~</v>
      </c>
      <c r="N1192">
        <v>2.1385168E7</v>
      </c>
      <c r="O1192">
        <v>1.9223282E7</v>
      </c>
      <c r="P1192" t="s">
        <v>221</v>
      </c>
    </row>
    <row r="1193">
      <c r="J1193" s="79" t="s">
        <v>1541</v>
      </c>
      <c r="K1193" t="str">
        <f>E56</f>
        <v>S1a2b~</v>
      </c>
      <c r="N1193">
        <v>2.1486388E7</v>
      </c>
      <c r="O1193">
        <v>1.9324502E7</v>
      </c>
      <c r="P1193" t="s">
        <v>219</v>
      </c>
    </row>
    <row r="1194">
      <c r="J1194" s="79" t="s">
        <v>1542</v>
      </c>
      <c r="K1194" t="str">
        <f>E56</f>
        <v>S1a2b~</v>
      </c>
      <c r="N1194">
        <v>2.1676325E7</v>
      </c>
      <c r="O1194">
        <v>1.9514439E7</v>
      </c>
      <c r="P1194" t="s">
        <v>219</v>
      </c>
    </row>
    <row r="1195">
      <c r="J1195" s="79" t="s">
        <v>1543</v>
      </c>
      <c r="K1195" t="str">
        <f>E56</f>
        <v>S1a2b~</v>
      </c>
      <c r="N1195">
        <v>2.1678844E7</v>
      </c>
      <c r="O1195">
        <v>1.9516958E7</v>
      </c>
      <c r="P1195" t="s">
        <v>242</v>
      </c>
    </row>
    <row r="1196">
      <c r="J1196" s="79" t="s">
        <v>1544</v>
      </c>
      <c r="K1196" t="str">
        <f>E56</f>
        <v>S1a2b~</v>
      </c>
      <c r="N1196">
        <v>2.1907649E7</v>
      </c>
      <c r="O1196">
        <v>1.9745763E7</v>
      </c>
      <c r="P1196" t="s">
        <v>232</v>
      </c>
    </row>
    <row r="1197">
      <c r="J1197" s="79" t="s">
        <v>1545</v>
      </c>
      <c r="K1197" t="str">
        <f>E56</f>
        <v>S1a2b~</v>
      </c>
      <c r="N1197">
        <v>2.196872E7</v>
      </c>
      <c r="O1197">
        <v>1.9806834E7</v>
      </c>
      <c r="P1197" t="s">
        <v>224</v>
      </c>
    </row>
    <row r="1198">
      <c r="J1198" s="79" t="s">
        <v>1546</v>
      </c>
      <c r="K1198" t="str">
        <f>E56</f>
        <v>S1a2b~</v>
      </c>
      <c r="N1198">
        <v>2.2098788E7</v>
      </c>
      <c r="O1198">
        <v>1.9936902E7</v>
      </c>
      <c r="P1198" t="s">
        <v>219</v>
      </c>
    </row>
    <row r="1199">
      <c r="J1199" s="79" t="s">
        <v>1547</v>
      </c>
      <c r="K1199" t="str">
        <f>E56</f>
        <v>S1a2b~</v>
      </c>
      <c r="N1199">
        <v>2.261356E7</v>
      </c>
      <c r="O1199">
        <v>2.0451674E7</v>
      </c>
      <c r="P1199" t="s">
        <v>221</v>
      </c>
    </row>
    <row r="1200">
      <c r="J1200" s="79" t="s">
        <v>1548</v>
      </c>
      <c r="K1200" t="str">
        <f>E56</f>
        <v>S1a2b~</v>
      </c>
      <c r="N1200">
        <v>2.2857222E7</v>
      </c>
      <c r="O1200">
        <v>2.0695336E7</v>
      </c>
      <c r="P1200" t="s">
        <v>224</v>
      </c>
    </row>
    <row r="1201">
      <c r="J1201" s="79" t="s">
        <v>1549</v>
      </c>
      <c r="K1201" t="str">
        <f>E56</f>
        <v>S1a2b~</v>
      </c>
      <c r="N1201">
        <v>2.3096326E7</v>
      </c>
      <c r="O1201">
        <v>2.093444E7</v>
      </c>
      <c r="P1201" t="s">
        <v>232</v>
      </c>
    </row>
    <row r="1202">
      <c r="J1202" s="79" t="s">
        <v>1550</v>
      </c>
      <c r="K1202" t="str">
        <f>E56</f>
        <v>S1a2b~</v>
      </c>
      <c r="N1202">
        <v>2.3139563E7</v>
      </c>
      <c r="O1202">
        <v>2.0977677E7</v>
      </c>
      <c r="P1202" t="s">
        <v>255</v>
      </c>
    </row>
    <row r="1203">
      <c r="J1203" s="79" t="s">
        <v>1551</v>
      </c>
      <c r="K1203" t="str">
        <f>E56</f>
        <v>S1a2b~</v>
      </c>
      <c r="N1203">
        <v>2.3249892E7</v>
      </c>
      <c r="O1203">
        <v>2.1088006E7</v>
      </c>
      <c r="P1203" t="s">
        <v>219</v>
      </c>
    </row>
    <row r="1204">
      <c r="J1204" s="79" t="s">
        <v>1552</v>
      </c>
      <c r="K1204" t="str">
        <f>E56</f>
        <v>S1a2b~</v>
      </c>
      <c r="N1204">
        <v>2.3284583E7</v>
      </c>
      <c r="O1204">
        <v>2.1122697E7</v>
      </c>
      <c r="P1204" t="s">
        <v>232</v>
      </c>
    </row>
    <row r="1205">
      <c r="J1205" s="79" t="s">
        <v>1553</v>
      </c>
      <c r="K1205" t="str">
        <f>E56</f>
        <v>S1a2b~</v>
      </c>
      <c r="N1205">
        <v>2.3299606E7</v>
      </c>
      <c r="O1205">
        <v>2.113772E7</v>
      </c>
      <c r="P1205" t="s">
        <v>232</v>
      </c>
    </row>
    <row r="1206">
      <c r="J1206" s="79" t="s">
        <v>1554</v>
      </c>
      <c r="K1206" t="str">
        <f>E56</f>
        <v>S1a2b~</v>
      </c>
      <c r="N1206">
        <v>2.330357E7</v>
      </c>
      <c r="O1206">
        <v>2.1141684E7</v>
      </c>
      <c r="P1206" t="s">
        <v>242</v>
      </c>
    </row>
    <row r="1207">
      <c r="J1207" s="79" t="s">
        <v>1555</v>
      </c>
      <c r="K1207" t="str">
        <f>E56</f>
        <v>S1a2b~</v>
      </c>
      <c r="N1207">
        <v>2.379903E7</v>
      </c>
      <c r="O1207">
        <v>2.1637144E7</v>
      </c>
      <c r="P1207" t="s">
        <v>219</v>
      </c>
    </row>
    <row r="1208">
      <c r="J1208" s="79" t="s">
        <v>1556</v>
      </c>
      <c r="K1208" t="str">
        <f>E56</f>
        <v>S1a2b~</v>
      </c>
      <c r="M1208" s="79" t="s">
        <v>1557</v>
      </c>
      <c r="N1208">
        <v>2.437951E7</v>
      </c>
      <c r="O1208">
        <v>2.2233363E7</v>
      </c>
      <c r="P1208" t="s">
        <v>219</v>
      </c>
    </row>
    <row r="1209">
      <c r="J1209" s="79" t="s">
        <v>1558</v>
      </c>
      <c r="K1209" t="str">
        <f>E56</f>
        <v>S1a2b~</v>
      </c>
      <c r="N1209">
        <v>2.4454148E7</v>
      </c>
      <c r="O1209">
        <v>2.2308001E7</v>
      </c>
      <c r="P1209" t="s">
        <v>229</v>
      </c>
    </row>
    <row r="1210">
      <c r="J1210" s="79" t="s">
        <v>1559</v>
      </c>
      <c r="K1210" t="str">
        <f>F57</f>
        <v>S1a2b1~</v>
      </c>
      <c r="N1210">
        <v>2749496.0</v>
      </c>
      <c r="O1210">
        <v>2881455.0</v>
      </c>
      <c r="P1210" t="s">
        <v>219</v>
      </c>
    </row>
    <row r="1211">
      <c r="J1211" s="79" t="s">
        <v>1560</v>
      </c>
      <c r="K1211" t="str">
        <f>F57</f>
        <v>S1a2b1~</v>
      </c>
      <c r="N1211">
        <v>6712939.0</v>
      </c>
      <c r="O1211">
        <v>6844898.0</v>
      </c>
      <c r="P1211" t="s">
        <v>219</v>
      </c>
    </row>
    <row r="1212">
      <c r="J1212" s="79" t="s">
        <v>1561</v>
      </c>
      <c r="K1212" t="str">
        <f>F57</f>
        <v>S1a2b1~</v>
      </c>
      <c r="N1212">
        <v>6889858.0</v>
      </c>
      <c r="O1212">
        <v>7021817.0</v>
      </c>
      <c r="P1212" t="s">
        <v>216</v>
      </c>
    </row>
    <row r="1213">
      <c r="J1213" s="79" t="s">
        <v>1562</v>
      </c>
      <c r="K1213" t="str">
        <f>F57</f>
        <v>S1a2b1~</v>
      </c>
      <c r="N1213">
        <v>6893036.0</v>
      </c>
      <c r="O1213">
        <v>7024995.0</v>
      </c>
      <c r="P1213" t="s">
        <v>221</v>
      </c>
    </row>
    <row r="1214">
      <c r="J1214" s="79" t="s">
        <v>1563</v>
      </c>
      <c r="K1214" t="str">
        <f t="shared" ref="K1214:K1215" si="10">F57</f>
        <v>S1a2b1~</v>
      </c>
      <c r="N1214">
        <v>6963510.0</v>
      </c>
      <c r="O1214">
        <v>7095469.0</v>
      </c>
      <c r="P1214" t="s">
        <v>229</v>
      </c>
    </row>
    <row r="1215">
      <c r="J1215" s="79" t="s">
        <v>1564</v>
      </c>
      <c r="K1215" t="str">
        <f t="shared" si="10"/>
        <v>S1a2b2~</v>
      </c>
      <c r="N1215">
        <v>2833224.0</v>
      </c>
      <c r="O1215">
        <v>2965183.0</v>
      </c>
      <c r="P1215" t="s">
        <v>232</v>
      </c>
    </row>
    <row r="1216">
      <c r="J1216" s="79" t="s">
        <v>1565</v>
      </c>
      <c r="K1216" t="str">
        <f>F58</f>
        <v>S1a2b2~</v>
      </c>
      <c r="N1216">
        <v>2841375.0</v>
      </c>
      <c r="O1216">
        <v>2973334.0</v>
      </c>
      <c r="P1216" t="s">
        <v>255</v>
      </c>
    </row>
    <row r="1217">
      <c r="J1217" s="79" t="s">
        <v>1566</v>
      </c>
      <c r="K1217" t="str">
        <f>F58</f>
        <v>S1a2b2~</v>
      </c>
      <c r="N1217">
        <v>2889994.0</v>
      </c>
      <c r="O1217">
        <v>3021953.0</v>
      </c>
      <c r="P1217" t="s">
        <v>232</v>
      </c>
    </row>
    <row r="1218">
      <c r="J1218" s="79" t="s">
        <v>1567</v>
      </c>
      <c r="K1218" t="str">
        <f>F58</f>
        <v>S1a2b2~</v>
      </c>
      <c r="N1218">
        <v>6679413.0</v>
      </c>
      <c r="O1218">
        <v>6811372.0</v>
      </c>
      <c r="P1218" t="s">
        <v>255</v>
      </c>
    </row>
    <row r="1219">
      <c r="J1219" s="79" t="s">
        <v>1568</v>
      </c>
      <c r="K1219" t="str">
        <f>F58</f>
        <v>S1a2b2~</v>
      </c>
      <c r="N1219">
        <v>6719958.0</v>
      </c>
      <c r="O1219">
        <v>6851917.0</v>
      </c>
      <c r="P1219" t="s">
        <v>219</v>
      </c>
    </row>
    <row r="1220">
      <c r="J1220" s="79" t="s">
        <v>89</v>
      </c>
      <c r="K1220" t="str">
        <f>E59</f>
        <v>S1a2c~</v>
      </c>
      <c r="N1220">
        <v>1.4001183E7</v>
      </c>
      <c r="O1220">
        <v>1.1880477E7</v>
      </c>
      <c r="P1220" t="s">
        <v>232</v>
      </c>
    </row>
    <row r="1221">
      <c r="J1221" s="79" t="s">
        <v>1569</v>
      </c>
      <c r="K1221" t="str">
        <f>C60</f>
        <v>S1b~</v>
      </c>
      <c r="N1221">
        <v>2657800.0</v>
      </c>
      <c r="O1221">
        <v>2789759.0</v>
      </c>
      <c r="P1221" t="s">
        <v>255</v>
      </c>
    </row>
    <row r="1222">
      <c r="J1222" s="79" t="s">
        <v>1570</v>
      </c>
      <c r="K1222" t="str">
        <f>C60</f>
        <v>S1b~</v>
      </c>
      <c r="N1222">
        <v>2672582.0</v>
      </c>
      <c r="O1222">
        <v>2804541.0</v>
      </c>
      <c r="P1222" t="s">
        <v>232</v>
      </c>
    </row>
    <row r="1223">
      <c r="J1223" s="35" t="s">
        <v>1571</v>
      </c>
      <c r="K1223" t="str">
        <f>C60</f>
        <v>S1b~</v>
      </c>
      <c r="M1223" s="77" t="s">
        <v>1572</v>
      </c>
      <c r="N1223" s="84">
        <v>2731599.0</v>
      </c>
      <c r="O1223" s="75">
        <v>2863558.0</v>
      </c>
      <c r="P1223" s="80" t="s">
        <v>221</v>
      </c>
    </row>
    <row r="1224">
      <c r="J1224" s="35" t="s">
        <v>1573</v>
      </c>
      <c r="K1224" t="str">
        <f>C60</f>
        <v>S1b~</v>
      </c>
      <c r="N1224" s="84">
        <v>2732925.0</v>
      </c>
      <c r="O1224" s="75">
        <v>2864884.0</v>
      </c>
      <c r="P1224" s="80" t="s">
        <v>232</v>
      </c>
    </row>
    <row r="1225">
      <c r="J1225" s="35" t="s">
        <v>1574</v>
      </c>
      <c r="K1225" t="str">
        <f t="shared" ref="K1225:K1226" si="11">C60</f>
        <v>S1b~</v>
      </c>
      <c r="N1225" s="84">
        <v>2799660.0</v>
      </c>
      <c r="O1225" s="75">
        <v>2931619.0</v>
      </c>
      <c r="P1225" s="80" t="s">
        <v>219</v>
      </c>
    </row>
    <row r="1226">
      <c r="J1226" s="35" t="s">
        <v>1575</v>
      </c>
      <c r="K1226" t="str">
        <f t="shared" si="11"/>
        <v>S1c~</v>
      </c>
      <c r="N1226" s="75">
        <v>2724108.0</v>
      </c>
      <c r="O1226" s="75">
        <v>2856067.0</v>
      </c>
      <c r="P1226" s="80" t="s">
        <v>255</v>
      </c>
    </row>
    <row r="1227">
      <c r="J1227" s="35" t="s">
        <v>1576</v>
      </c>
      <c r="K1227" t="str">
        <f>C61</f>
        <v>S1c~</v>
      </c>
      <c r="N1227" s="75">
        <v>2772983.0</v>
      </c>
      <c r="O1227" s="75">
        <v>2904942.0</v>
      </c>
      <c r="P1227" s="80" t="s">
        <v>219</v>
      </c>
    </row>
    <row r="1228">
      <c r="J1228" s="35" t="s">
        <v>1577</v>
      </c>
      <c r="K1228" t="str">
        <f>C61</f>
        <v>S1c~</v>
      </c>
      <c r="N1228" s="74">
        <v>2780402.0</v>
      </c>
      <c r="O1228" s="75">
        <v>2912361.0</v>
      </c>
      <c r="P1228" s="80" t="s">
        <v>221</v>
      </c>
    </row>
    <row r="1229">
      <c r="J1229" s="35" t="s">
        <v>1578</v>
      </c>
      <c r="K1229" t="str">
        <f>C61</f>
        <v>S1c~</v>
      </c>
      <c r="N1229" s="75">
        <v>6751894.0</v>
      </c>
      <c r="O1229" s="75">
        <v>6883853.0</v>
      </c>
      <c r="P1229" s="80" t="s">
        <v>221</v>
      </c>
    </row>
    <row r="1230">
      <c r="J1230" s="35" t="s">
        <v>1579</v>
      </c>
      <c r="K1230" t="str">
        <f t="shared" ref="K1230:K1231" si="12">C61</f>
        <v>S1c~</v>
      </c>
      <c r="N1230" s="75">
        <v>6732972.0</v>
      </c>
      <c r="O1230" s="75">
        <v>6864931.0</v>
      </c>
      <c r="P1230" s="80" t="s">
        <v>232</v>
      </c>
    </row>
    <row r="1231">
      <c r="J1231" s="35" t="s">
        <v>1580</v>
      </c>
      <c r="K1231" s="87" t="str">
        <f t="shared" si="12"/>
        <v>S1d</v>
      </c>
      <c r="N1231" s="75">
        <v>8535703.0</v>
      </c>
      <c r="O1231" s="75">
        <v>8667662.0</v>
      </c>
      <c r="P1231" s="80" t="s">
        <v>221</v>
      </c>
    </row>
    <row r="1232">
      <c r="J1232" s="35" t="s">
        <v>1581</v>
      </c>
      <c r="K1232" s="87" t="str">
        <f>C62</f>
        <v>S1d</v>
      </c>
      <c r="M1232" s="77" t="s">
        <v>1582</v>
      </c>
      <c r="N1232" s="74">
        <v>1.8604959E7</v>
      </c>
      <c r="O1232" s="75">
        <v>1.6493079E7</v>
      </c>
      <c r="P1232" s="80" t="s">
        <v>232</v>
      </c>
    </row>
    <row r="1233">
      <c r="J1233" s="35" t="s">
        <v>1583</v>
      </c>
      <c r="K1233" s="87" t="str">
        <f>C62</f>
        <v>S1d</v>
      </c>
      <c r="N1233" s="75">
        <v>2.1214424E7</v>
      </c>
      <c r="O1233" s="75">
        <v>1.9052538E7</v>
      </c>
      <c r="P1233" s="80" t="s">
        <v>232</v>
      </c>
    </row>
    <row r="1234">
      <c r="J1234" s="35" t="s">
        <v>1584</v>
      </c>
      <c r="K1234" s="87" t="str">
        <f>C62</f>
        <v>S1d</v>
      </c>
      <c r="N1234" s="75">
        <v>1.6878832E7</v>
      </c>
      <c r="O1234" s="75">
        <v>1.4766952E7</v>
      </c>
      <c r="P1234" s="80" t="s">
        <v>232</v>
      </c>
    </row>
    <row r="1235">
      <c r="J1235" s="35" t="s">
        <v>1585</v>
      </c>
      <c r="K1235" s="87" t="str">
        <f>C62</f>
        <v>S1d</v>
      </c>
      <c r="N1235" s="75">
        <v>1.7748433E7</v>
      </c>
      <c r="O1235" s="75">
        <v>1.5636553E7</v>
      </c>
      <c r="P1235" s="80" t="s">
        <v>221</v>
      </c>
    </row>
    <row r="1236">
      <c r="J1236" s="35" t="s">
        <v>1586</v>
      </c>
      <c r="K1236" s="87" t="str">
        <f>C62</f>
        <v>S1d</v>
      </c>
      <c r="N1236" s="75">
        <v>8552908.0</v>
      </c>
      <c r="O1236" s="75">
        <v>8684867.0</v>
      </c>
      <c r="P1236" s="80" t="s">
        <v>229</v>
      </c>
    </row>
    <row r="1237">
      <c r="J1237" s="35" t="s">
        <v>1587</v>
      </c>
      <c r="K1237" s="87" t="str">
        <f>C62</f>
        <v>S1d</v>
      </c>
      <c r="N1237" s="75">
        <v>8616721.0</v>
      </c>
      <c r="O1237" s="75">
        <v>8748680.0</v>
      </c>
      <c r="P1237" s="80" t="s">
        <v>221</v>
      </c>
    </row>
    <row r="1238">
      <c r="J1238" s="35" t="s">
        <v>1588</v>
      </c>
      <c r="K1238" s="87" t="str">
        <f>C62</f>
        <v>S1d</v>
      </c>
      <c r="N1238" s="75">
        <v>8634212.0</v>
      </c>
      <c r="O1238" s="75">
        <v>8766171.0</v>
      </c>
      <c r="P1238" s="80" t="s">
        <v>232</v>
      </c>
    </row>
    <row r="1239">
      <c r="J1239" s="35" t="s">
        <v>1589</v>
      </c>
      <c r="K1239" s="87" t="str">
        <f>C62</f>
        <v>S1d</v>
      </c>
      <c r="N1239" s="75">
        <v>8591223.0</v>
      </c>
      <c r="O1239" s="75">
        <v>8723182.0</v>
      </c>
      <c r="P1239" s="80" t="s">
        <v>219</v>
      </c>
    </row>
    <row r="1240">
      <c r="J1240" s="35" t="s">
        <v>1590</v>
      </c>
      <c r="K1240" s="87" t="str">
        <f>C62</f>
        <v>S1d</v>
      </c>
      <c r="N1240" s="75">
        <v>1.5591334E7</v>
      </c>
      <c r="O1240" s="75">
        <v>1.3479454E7</v>
      </c>
      <c r="P1240" s="80" t="s">
        <v>232</v>
      </c>
    </row>
    <row r="1241">
      <c r="J1241" s="35" t="s">
        <v>1591</v>
      </c>
      <c r="K1241" s="87" t="str">
        <f>C62</f>
        <v>S1d</v>
      </c>
      <c r="N1241" s="75">
        <v>1.7553399E7</v>
      </c>
      <c r="O1241" s="75">
        <v>1.5441519E7</v>
      </c>
      <c r="P1241" s="80" t="s">
        <v>221</v>
      </c>
    </row>
    <row r="1242">
      <c r="J1242" s="35" t="s">
        <v>1592</v>
      </c>
      <c r="K1242" s="87" t="str">
        <f>C62</f>
        <v>S1d</v>
      </c>
      <c r="N1242" s="88">
        <v>1.7076947E7</v>
      </c>
      <c r="O1242" s="89">
        <v>1.4965067E7</v>
      </c>
      <c r="P1242" s="35" t="s">
        <v>302</v>
      </c>
    </row>
    <row r="1243">
      <c r="J1243" s="35" t="s">
        <v>1593</v>
      </c>
      <c r="K1243" s="87" t="str">
        <f>C62</f>
        <v>S1d</v>
      </c>
      <c r="L1243" s="35" t="s">
        <v>1594</v>
      </c>
      <c r="N1243" s="75">
        <v>1.7907517E7</v>
      </c>
      <c r="O1243" s="75">
        <v>1.5795637E7</v>
      </c>
      <c r="P1243" s="80" t="s">
        <v>221</v>
      </c>
    </row>
    <row r="1244">
      <c r="J1244" s="35" t="s">
        <v>1594</v>
      </c>
      <c r="K1244" s="87" t="str">
        <f>C62</f>
        <v>S1d</v>
      </c>
      <c r="L1244" s="35" t="s">
        <v>1593</v>
      </c>
      <c r="N1244" s="75">
        <v>1.7907517E7</v>
      </c>
      <c r="O1244" s="75">
        <v>1.5795637E7</v>
      </c>
      <c r="P1244" s="80" t="s">
        <v>221</v>
      </c>
    </row>
    <row r="1245">
      <c r="J1245" s="35" t="s">
        <v>1595</v>
      </c>
      <c r="K1245" s="87" t="str">
        <f>C62</f>
        <v>S1d</v>
      </c>
      <c r="L1245" s="35" t="s">
        <v>1596</v>
      </c>
      <c r="N1245" s="75">
        <v>1.50221E7</v>
      </c>
      <c r="O1245" s="75">
        <v>1.2910189E7</v>
      </c>
      <c r="P1245" s="80" t="s">
        <v>221</v>
      </c>
    </row>
    <row r="1246">
      <c r="J1246" s="35" t="s">
        <v>1596</v>
      </c>
      <c r="K1246" s="87" t="str">
        <f>C62</f>
        <v>S1d</v>
      </c>
      <c r="L1246" s="35" t="s">
        <v>1595</v>
      </c>
      <c r="N1246" s="75">
        <v>1.50221E7</v>
      </c>
      <c r="O1246" s="75">
        <v>1.2910189E7</v>
      </c>
      <c r="P1246" s="80" t="s">
        <v>221</v>
      </c>
    </row>
    <row r="1247">
      <c r="J1247" s="35" t="s">
        <v>1597</v>
      </c>
      <c r="K1247" s="87" t="str">
        <f>C62</f>
        <v>S1d</v>
      </c>
      <c r="N1247" s="75">
        <v>2.1755788E7</v>
      </c>
      <c r="O1247" s="75">
        <v>1.9593902E7</v>
      </c>
      <c r="P1247" s="80" t="s">
        <v>255</v>
      </c>
    </row>
    <row r="1248">
      <c r="J1248" s="35" t="s">
        <v>1598</v>
      </c>
      <c r="K1248" s="87" t="str">
        <f>C62</f>
        <v>S1d</v>
      </c>
      <c r="N1248" s="75">
        <v>1.6404029E7</v>
      </c>
      <c r="O1248" s="75">
        <v>1.4292149E7</v>
      </c>
      <c r="P1248" s="80" t="s">
        <v>219</v>
      </c>
    </row>
    <row r="1249">
      <c r="J1249" s="35" t="s">
        <v>1599</v>
      </c>
      <c r="K1249" s="87" t="str">
        <f>C62</f>
        <v>S1d</v>
      </c>
      <c r="N1249" s="75">
        <v>1.9287466E7</v>
      </c>
      <c r="O1249" s="75">
        <v>1.7175586E7</v>
      </c>
      <c r="P1249" s="80" t="s">
        <v>216</v>
      </c>
    </row>
    <row r="1250">
      <c r="J1250" s="35" t="s">
        <v>1600</v>
      </c>
      <c r="K1250" s="87" t="str">
        <f>C62</f>
        <v>S1d</v>
      </c>
      <c r="N1250" s="75">
        <v>2709687.0</v>
      </c>
      <c r="O1250" s="75">
        <v>2841646.0</v>
      </c>
      <c r="P1250" s="80" t="s">
        <v>283</v>
      </c>
    </row>
    <row r="1251">
      <c r="J1251" s="35" t="s">
        <v>1601</v>
      </c>
      <c r="K1251" s="87" t="str">
        <f>C62</f>
        <v>S1d</v>
      </c>
      <c r="N1251" s="75">
        <v>2721994.0</v>
      </c>
      <c r="O1251" s="75">
        <v>2853953.0</v>
      </c>
      <c r="P1251" s="80" t="s">
        <v>221</v>
      </c>
    </row>
    <row r="1252">
      <c r="J1252" s="35" t="s">
        <v>1602</v>
      </c>
      <c r="K1252" s="87" t="str">
        <f>C62</f>
        <v>S1d</v>
      </c>
      <c r="N1252" s="75">
        <v>2763666.0</v>
      </c>
      <c r="O1252" s="75">
        <v>2895625.0</v>
      </c>
      <c r="P1252" s="80" t="s">
        <v>232</v>
      </c>
    </row>
    <row r="1253">
      <c r="J1253" s="35" t="s">
        <v>1603</v>
      </c>
      <c r="K1253" s="87" t="str">
        <f>C62</f>
        <v>S1d</v>
      </c>
      <c r="N1253" s="75">
        <v>2899730.0</v>
      </c>
      <c r="O1253" s="75">
        <v>3031689.0</v>
      </c>
      <c r="P1253" s="80" t="s">
        <v>219</v>
      </c>
    </row>
    <row r="1254">
      <c r="J1254" s="35" t="s">
        <v>1604</v>
      </c>
      <c r="K1254" s="87" t="str">
        <f>C62</f>
        <v>S1d</v>
      </c>
      <c r="N1254" s="75">
        <v>6683909.0</v>
      </c>
      <c r="O1254" s="75">
        <v>6815868.0</v>
      </c>
      <c r="P1254" s="80" t="s">
        <v>221</v>
      </c>
    </row>
    <row r="1255">
      <c r="J1255" s="35" t="s">
        <v>1605</v>
      </c>
      <c r="K1255" s="87" t="str">
        <f>C62</f>
        <v>S1d</v>
      </c>
      <c r="N1255" s="75">
        <v>6697458.0</v>
      </c>
      <c r="O1255" s="75">
        <v>6829417.0</v>
      </c>
      <c r="P1255" s="80" t="s">
        <v>221</v>
      </c>
    </row>
    <row r="1256">
      <c r="J1256" s="35" t="s">
        <v>1606</v>
      </c>
      <c r="K1256" s="87" t="str">
        <f>C62</f>
        <v>S1d</v>
      </c>
      <c r="N1256" s="75">
        <v>6709826.0</v>
      </c>
      <c r="O1256" s="75">
        <v>6841785.0</v>
      </c>
      <c r="P1256" s="80" t="s">
        <v>232</v>
      </c>
    </row>
    <row r="1257">
      <c r="J1257" s="35" t="s">
        <v>1607</v>
      </c>
      <c r="K1257" s="87" t="str">
        <f>C62</f>
        <v>S1d</v>
      </c>
      <c r="N1257" s="74">
        <v>6741061.0</v>
      </c>
      <c r="O1257" s="75">
        <v>6873020.0</v>
      </c>
      <c r="P1257" s="80" t="s">
        <v>232</v>
      </c>
    </row>
    <row r="1258">
      <c r="J1258" s="35" t="s">
        <v>1608</v>
      </c>
      <c r="K1258" s="87" t="str">
        <f>C62</f>
        <v>S1d</v>
      </c>
      <c r="N1258" s="75">
        <v>6750510.0</v>
      </c>
      <c r="O1258" s="75">
        <v>6882469.0</v>
      </c>
      <c r="P1258" s="80" t="s">
        <v>219</v>
      </c>
    </row>
    <row r="1259">
      <c r="J1259" s="35" t="s">
        <v>1609</v>
      </c>
      <c r="K1259" s="87" t="str">
        <f>C62</f>
        <v>S1d</v>
      </c>
      <c r="N1259" s="75">
        <v>6752720.0</v>
      </c>
      <c r="O1259" s="75">
        <v>6884679.0</v>
      </c>
      <c r="P1259" s="80" t="s">
        <v>255</v>
      </c>
    </row>
    <row r="1260">
      <c r="J1260" s="35" t="s">
        <v>1610</v>
      </c>
      <c r="K1260" s="87" t="str">
        <f>C62</f>
        <v>S1d</v>
      </c>
      <c r="N1260" s="75">
        <v>6793922.0</v>
      </c>
      <c r="O1260" s="75">
        <v>6925881.0</v>
      </c>
      <c r="P1260" s="80" t="s">
        <v>219</v>
      </c>
    </row>
    <row r="1261">
      <c r="J1261" s="35" t="s">
        <v>1611</v>
      </c>
      <c r="K1261" s="87" t="str">
        <f>C62</f>
        <v>S1d</v>
      </c>
      <c r="N1261" s="75">
        <v>6856122.0</v>
      </c>
      <c r="O1261" s="75">
        <v>6988081.0</v>
      </c>
      <c r="P1261" s="80" t="s">
        <v>242</v>
      </c>
    </row>
    <row r="1262">
      <c r="J1262" s="35" t="s">
        <v>1612</v>
      </c>
      <c r="K1262" s="87" t="str">
        <f>C62</f>
        <v>S1d</v>
      </c>
      <c r="N1262" s="75">
        <v>6862857.0</v>
      </c>
      <c r="O1262" s="75">
        <v>6994816.0</v>
      </c>
      <c r="P1262" s="80" t="s">
        <v>232</v>
      </c>
    </row>
    <row r="1263">
      <c r="J1263" s="35" t="s">
        <v>1613</v>
      </c>
      <c r="K1263" s="87" t="str">
        <f>C62</f>
        <v>S1d</v>
      </c>
      <c r="N1263" s="75">
        <v>6885030.0</v>
      </c>
      <c r="O1263" s="75">
        <v>7016989.0</v>
      </c>
      <c r="P1263" s="80" t="s">
        <v>255</v>
      </c>
    </row>
    <row r="1264">
      <c r="J1264" s="35" t="s">
        <v>1614</v>
      </c>
      <c r="K1264" s="87" t="str">
        <f>C62</f>
        <v>S1d</v>
      </c>
      <c r="N1264" s="75">
        <v>6891576.0</v>
      </c>
      <c r="O1264" s="75">
        <v>7023535.0</v>
      </c>
      <c r="P1264" s="80" t="s">
        <v>232</v>
      </c>
    </row>
    <row r="1265">
      <c r="J1265" s="35" t="s">
        <v>1615</v>
      </c>
      <c r="K1265" s="87" t="str">
        <f>C62</f>
        <v>S1d</v>
      </c>
      <c r="N1265" s="75">
        <v>6927660.0</v>
      </c>
      <c r="O1265" s="75">
        <v>7059619.0</v>
      </c>
      <c r="P1265" s="80" t="s">
        <v>232</v>
      </c>
    </row>
    <row r="1266">
      <c r="J1266" s="35" t="s">
        <v>1616</v>
      </c>
      <c r="K1266" s="87" t="str">
        <f>C62</f>
        <v>S1d</v>
      </c>
      <c r="N1266" s="75">
        <v>7083634.0</v>
      </c>
      <c r="O1266" s="75">
        <v>7215593.0</v>
      </c>
      <c r="P1266" s="80" t="s">
        <v>242</v>
      </c>
    </row>
    <row r="1267">
      <c r="J1267" s="35" t="s">
        <v>1617</v>
      </c>
      <c r="K1267" s="87" t="str">
        <f>C62</f>
        <v>S1d</v>
      </c>
      <c r="N1267" s="74">
        <v>7152904.0</v>
      </c>
      <c r="O1267" s="75">
        <v>7284863.0</v>
      </c>
      <c r="P1267" s="80" t="s">
        <v>219</v>
      </c>
    </row>
    <row r="1268">
      <c r="J1268" s="35" t="s">
        <v>1618</v>
      </c>
      <c r="K1268" s="87" t="str">
        <f>C62</f>
        <v>S1d</v>
      </c>
      <c r="N1268" s="75">
        <v>7189508.0</v>
      </c>
      <c r="O1268" s="75">
        <v>7321467.0</v>
      </c>
      <c r="P1268" s="80" t="s">
        <v>242</v>
      </c>
    </row>
    <row r="1269">
      <c r="J1269" s="35" t="s">
        <v>1619</v>
      </c>
      <c r="K1269" s="87" t="str">
        <f>C62</f>
        <v>S1d</v>
      </c>
      <c r="N1269" s="75">
        <v>7204218.0</v>
      </c>
      <c r="O1269" s="75">
        <v>7336177.0</v>
      </c>
      <c r="P1269" s="80" t="s">
        <v>242</v>
      </c>
    </row>
    <row r="1270">
      <c r="J1270" s="35" t="s">
        <v>1620</v>
      </c>
      <c r="K1270" s="87" t="str">
        <f>C62</f>
        <v>S1d</v>
      </c>
      <c r="N1270" s="75">
        <v>7216117.0</v>
      </c>
      <c r="O1270" s="75">
        <v>7348076.0</v>
      </c>
      <c r="P1270" s="80" t="s">
        <v>229</v>
      </c>
    </row>
    <row r="1271">
      <c r="J1271" s="35" t="s">
        <v>1621</v>
      </c>
      <c r="K1271" s="87" t="str">
        <f>C62</f>
        <v>S1d</v>
      </c>
      <c r="N1271" s="75">
        <v>7242974.0</v>
      </c>
      <c r="O1271" s="75">
        <v>7374933.0</v>
      </c>
      <c r="P1271" s="80" t="s">
        <v>232</v>
      </c>
    </row>
    <row r="1272">
      <c r="J1272" s="35" t="s">
        <v>1622</v>
      </c>
      <c r="K1272" s="87" t="str">
        <f>C62</f>
        <v>S1d</v>
      </c>
      <c r="N1272" s="75">
        <v>7326700.0</v>
      </c>
      <c r="O1272" s="75">
        <v>7458659.0</v>
      </c>
      <c r="P1272" s="80" t="s">
        <v>232</v>
      </c>
    </row>
    <row r="1273">
      <c r="J1273" s="35" t="s">
        <v>1623</v>
      </c>
      <c r="K1273" s="87" t="str">
        <f>C62</f>
        <v>S1d</v>
      </c>
      <c r="N1273" s="75">
        <v>7343925.0</v>
      </c>
      <c r="O1273" s="75">
        <v>7475884.0</v>
      </c>
      <c r="P1273" s="80" t="s">
        <v>221</v>
      </c>
    </row>
    <row r="1274">
      <c r="J1274" s="35" t="s">
        <v>1624</v>
      </c>
      <c r="K1274" s="87" t="str">
        <f>C62</f>
        <v>S1d</v>
      </c>
      <c r="N1274" s="75">
        <v>7591515.0</v>
      </c>
      <c r="O1274" s="75">
        <v>7723474.0</v>
      </c>
      <c r="P1274" s="80" t="s">
        <v>232</v>
      </c>
    </row>
    <row r="1275">
      <c r="J1275" s="35" t="s">
        <v>1625</v>
      </c>
      <c r="K1275" s="87" t="str">
        <f>C62</f>
        <v>S1d</v>
      </c>
      <c r="N1275" s="75">
        <v>7654073.0</v>
      </c>
      <c r="O1275" s="75">
        <v>7786032.0</v>
      </c>
      <c r="P1275" s="80" t="s">
        <v>221</v>
      </c>
    </row>
    <row r="1276">
      <c r="J1276" s="35" t="s">
        <v>1626</v>
      </c>
      <c r="K1276" s="87" t="str">
        <f>C62</f>
        <v>S1d</v>
      </c>
      <c r="N1276" s="75">
        <v>7664123.0</v>
      </c>
      <c r="O1276" s="75">
        <v>7796082.0</v>
      </c>
      <c r="P1276" s="80" t="s">
        <v>221</v>
      </c>
    </row>
    <row r="1277">
      <c r="J1277" s="35" t="s">
        <v>1627</v>
      </c>
      <c r="K1277" s="87" t="str">
        <f>C62</f>
        <v>S1d</v>
      </c>
      <c r="N1277" s="74">
        <v>7677279.0</v>
      </c>
      <c r="O1277" s="75">
        <v>7809238.0</v>
      </c>
      <c r="P1277" s="80" t="s">
        <v>221</v>
      </c>
    </row>
    <row r="1278">
      <c r="J1278" s="35" t="s">
        <v>1628</v>
      </c>
      <c r="K1278" s="87" t="str">
        <f>C62</f>
        <v>S1d</v>
      </c>
      <c r="N1278" s="75">
        <v>7711690.0</v>
      </c>
      <c r="O1278" s="75">
        <v>7843649.0</v>
      </c>
      <c r="P1278" s="80" t="s">
        <v>283</v>
      </c>
    </row>
    <row r="1279">
      <c r="J1279" s="35" t="s">
        <v>1629</v>
      </c>
      <c r="K1279" s="87" t="str">
        <f>C62</f>
        <v>S1d</v>
      </c>
      <c r="N1279" s="75">
        <v>7712338.0</v>
      </c>
      <c r="O1279" s="75">
        <v>7844297.0</v>
      </c>
      <c r="P1279" s="80" t="s">
        <v>221</v>
      </c>
    </row>
    <row r="1280">
      <c r="J1280" s="35" t="s">
        <v>1630</v>
      </c>
      <c r="K1280" s="87" t="str">
        <f>C62</f>
        <v>S1d</v>
      </c>
      <c r="N1280" s="75">
        <v>7774400.0</v>
      </c>
      <c r="O1280" s="75">
        <v>7906359.0</v>
      </c>
      <c r="P1280" s="80" t="s">
        <v>221</v>
      </c>
    </row>
    <row r="1281">
      <c r="J1281" s="35" t="s">
        <v>1631</v>
      </c>
      <c r="K1281" s="87" t="str">
        <f>C62</f>
        <v>S1d</v>
      </c>
      <c r="N1281" s="75">
        <v>7782047.0</v>
      </c>
      <c r="O1281" s="75">
        <v>7914006.0</v>
      </c>
      <c r="P1281" s="80" t="s">
        <v>221</v>
      </c>
    </row>
    <row r="1282">
      <c r="J1282" s="35" t="s">
        <v>1632</v>
      </c>
      <c r="K1282" s="87" t="str">
        <f>C62</f>
        <v>S1d</v>
      </c>
      <c r="M1282" s="77" t="s">
        <v>1633</v>
      </c>
      <c r="N1282" s="75">
        <v>7798682.0</v>
      </c>
      <c r="O1282" s="75">
        <v>7930641.0</v>
      </c>
      <c r="P1282" s="80" t="s">
        <v>219</v>
      </c>
    </row>
    <row r="1283">
      <c r="J1283" s="35" t="s">
        <v>1634</v>
      </c>
      <c r="K1283" s="87" t="str">
        <f>C62</f>
        <v>S1d</v>
      </c>
      <c r="N1283" s="75">
        <v>7828100.0</v>
      </c>
      <c r="O1283" s="75">
        <v>7960059.0</v>
      </c>
      <c r="P1283" s="80" t="s">
        <v>219</v>
      </c>
    </row>
    <row r="1284">
      <c r="J1284" s="35" t="s">
        <v>1635</v>
      </c>
      <c r="K1284" s="87" t="str">
        <f>C62</f>
        <v>S1d</v>
      </c>
      <c r="N1284" s="75">
        <v>7852414.0</v>
      </c>
      <c r="O1284" s="75">
        <v>7984373.0</v>
      </c>
      <c r="P1284" s="80" t="s">
        <v>219</v>
      </c>
    </row>
    <row r="1285">
      <c r="J1285" s="35" t="s">
        <v>1636</v>
      </c>
      <c r="K1285" s="87" t="str">
        <f>C62</f>
        <v>S1d</v>
      </c>
      <c r="N1285" s="75">
        <v>7860187.0</v>
      </c>
      <c r="O1285" s="75">
        <v>7992146.0</v>
      </c>
      <c r="P1285" s="80" t="s">
        <v>224</v>
      </c>
    </row>
    <row r="1286">
      <c r="J1286" s="35" t="s">
        <v>1637</v>
      </c>
      <c r="K1286" s="87" t="str">
        <f>C62</f>
        <v>S1d</v>
      </c>
      <c r="N1286" s="75">
        <v>7887102.0</v>
      </c>
      <c r="O1286" s="75">
        <v>8019061.0</v>
      </c>
      <c r="P1286" s="80" t="s">
        <v>232</v>
      </c>
    </row>
    <row r="1287">
      <c r="J1287" s="35" t="s">
        <v>1638</v>
      </c>
      <c r="K1287" s="87" t="str">
        <f>C62</f>
        <v>S1d</v>
      </c>
      <c r="N1287" s="74">
        <v>7936912.0</v>
      </c>
      <c r="O1287" s="75">
        <v>8068871.0</v>
      </c>
      <c r="P1287" s="80" t="s">
        <v>232</v>
      </c>
    </row>
    <row r="1288">
      <c r="J1288" s="35" t="s">
        <v>1639</v>
      </c>
      <c r="K1288" s="87" t="str">
        <f>C62</f>
        <v>S1d</v>
      </c>
      <c r="N1288" s="75">
        <v>7967750.0</v>
      </c>
      <c r="O1288" s="75">
        <v>8099709.0</v>
      </c>
      <c r="P1288" s="80" t="s">
        <v>221</v>
      </c>
    </row>
    <row r="1289">
      <c r="J1289" s="35" t="s">
        <v>1640</v>
      </c>
      <c r="K1289" s="87" t="str">
        <f>C62</f>
        <v>S1d</v>
      </c>
      <c r="N1289" s="75">
        <v>8018952.0</v>
      </c>
      <c r="O1289" s="75">
        <v>8150911.0</v>
      </c>
      <c r="P1289" s="80" t="s">
        <v>255</v>
      </c>
    </row>
    <row r="1290">
      <c r="J1290" s="35" t="s">
        <v>1641</v>
      </c>
      <c r="K1290" s="87" t="str">
        <f>C62</f>
        <v>S1d</v>
      </c>
      <c r="N1290" s="75">
        <v>8042555.0</v>
      </c>
      <c r="O1290" s="75">
        <v>8174514.0</v>
      </c>
      <c r="P1290" s="80" t="s">
        <v>221</v>
      </c>
    </row>
    <row r="1291">
      <c r="J1291" s="35" t="s">
        <v>1642</v>
      </c>
      <c r="K1291" s="87" t="str">
        <f>C62</f>
        <v>S1d</v>
      </c>
      <c r="N1291" s="75">
        <v>8045907.0</v>
      </c>
      <c r="O1291" s="75">
        <v>8177866.0</v>
      </c>
      <c r="P1291" s="80" t="s">
        <v>219</v>
      </c>
    </row>
    <row r="1292">
      <c r="J1292" s="35" t="s">
        <v>1643</v>
      </c>
      <c r="K1292" s="87" t="str">
        <f>C62</f>
        <v>S1d</v>
      </c>
      <c r="N1292" s="75">
        <v>8067471.0</v>
      </c>
      <c r="O1292" s="75">
        <v>8199430.0</v>
      </c>
      <c r="P1292" s="80" t="s">
        <v>242</v>
      </c>
    </row>
    <row r="1293">
      <c r="J1293" s="35" t="s">
        <v>1644</v>
      </c>
      <c r="K1293" s="87" t="str">
        <f>C62</f>
        <v>S1d</v>
      </c>
      <c r="N1293" s="75">
        <v>8068980.0</v>
      </c>
      <c r="O1293" s="75">
        <v>8200939.0</v>
      </c>
      <c r="P1293" s="80" t="s">
        <v>232</v>
      </c>
    </row>
    <row r="1294">
      <c r="J1294" s="35" t="s">
        <v>1645</v>
      </c>
      <c r="K1294" s="87" t="str">
        <f>C62</f>
        <v>S1d</v>
      </c>
      <c r="N1294" s="75">
        <v>8079064.0</v>
      </c>
      <c r="O1294" s="75">
        <v>8211023.0</v>
      </c>
      <c r="P1294" s="80" t="s">
        <v>283</v>
      </c>
    </row>
    <row r="1295">
      <c r="J1295" s="35" t="s">
        <v>1646</v>
      </c>
      <c r="K1295" s="87" t="str">
        <f>C62</f>
        <v>S1d</v>
      </c>
      <c r="N1295" s="75">
        <v>8125598.0</v>
      </c>
      <c r="O1295" s="75">
        <v>8257557.0</v>
      </c>
      <c r="P1295" s="80" t="s">
        <v>219</v>
      </c>
    </row>
    <row r="1296">
      <c r="J1296" s="35" t="s">
        <v>1647</v>
      </c>
      <c r="K1296" s="87" t="str">
        <f>C62</f>
        <v>S1d</v>
      </c>
      <c r="N1296" s="75">
        <v>8262054.0</v>
      </c>
      <c r="O1296" s="75">
        <v>8394013.0</v>
      </c>
      <c r="P1296" s="80" t="s">
        <v>242</v>
      </c>
    </row>
    <row r="1297">
      <c r="J1297" s="35" t="s">
        <v>1648</v>
      </c>
      <c r="K1297" s="87" t="str">
        <f>C62</f>
        <v>S1d</v>
      </c>
      <c r="N1297" s="74">
        <v>8305979.0</v>
      </c>
      <c r="O1297" s="75">
        <v>8437938.0</v>
      </c>
      <c r="P1297" s="80" t="s">
        <v>232</v>
      </c>
    </row>
    <row r="1298">
      <c r="J1298" s="35" t="s">
        <v>1649</v>
      </c>
      <c r="K1298" s="87" t="str">
        <f>C62</f>
        <v>S1d</v>
      </c>
      <c r="N1298" s="75">
        <v>8335647.0</v>
      </c>
      <c r="O1298" s="75">
        <v>8467606.0</v>
      </c>
      <c r="P1298" s="80" t="s">
        <v>216</v>
      </c>
    </row>
    <row r="1299">
      <c r="J1299" s="35" t="s">
        <v>1650</v>
      </c>
      <c r="K1299" s="87" t="str">
        <f>C62</f>
        <v>S1d</v>
      </c>
      <c r="M1299" s="77" t="s">
        <v>1651</v>
      </c>
      <c r="N1299" s="75">
        <v>8349189.0</v>
      </c>
      <c r="O1299" s="75">
        <v>8481148.0</v>
      </c>
      <c r="P1299" s="80" t="s">
        <v>232</v>
      </c>
    </row>
    <row r="1300">
      <c r="J1300" s="35" t="s">
        <v>1652</v>
      </c>
      <c r="K1300" s="87" t="str">
        <f>C62</f>
        <v>S1d</v>
      </c>
      <c r="N1300" s="75">
        <v>8356973.0</v>
      </c>
      <c r="O1300" s="75">
        <v>8488932.0</v>
      </c>
      <c r="P1300" s="80" t="s">
        <v>216</v>
      </c>
    </row>
    <row r="1301">
      <c r="J1301" s="35" t="s">
        <v>1653</v>
      </c>
      <c r="K1301" s="87" t="str">
        <f>C62</f>
        <v>S1d</v>
      </c>
      <c r="N1301" s="75">
        <v>8380379.0</v>
      </c>
      <c r="O1301" s="75">
        <v>8512338.0</v>
      </c>
      <c r="P1301" s="80" t="s">
        <v>219</v>
      </c>
    </row>
    <row r="1302">
      <c r="J1302" s="35" t="s">
        <v>1654</v>
      </c>
      <c r="K1302" s="87" t="str">
        <f>C62</f>
        <v>S1d</v>
      </c>
      <c r="N1302" s="75">
        <v>8417648.0</v>
      </c>
      <c r="O1302" s="75">
        <v>8549607.0</v>
      </c>
      <c r="P1302" s="80" t="s">
        <v>232</v>
      </c>
    </row>
    <row r="1303">
      <c r="J1303" s="35" t="s">
        <v>1655</v>
      </c>
      <c r="K1303" s="87" t="str">
        <f>C62</f>
        <v>S1d</v>
      </c>
      <c r="N1303" s="75">
        <v>8511181.0</v>
      </c>
      <c r="O1303" s="75">
        <v>8643140.0</v>
      </c>
      <c r="P1303" s="80" t="s">
        <v>232</v>
      </c>
    </row>
    <row r="1304">
      <c r="J1304" s="35" t="s">
        <v>1656</v>
      </c>
      <c r="K1304" s="87" t="str">
        <f>C62</f>
        <v>S1d</v>
      </c>
      <c r="N1304" s="75">
        <v>8515472.0</v>
      </c>
      <c r="O1304" s="75">
        <v>8647431.0</v>
      </c>
      <c r="P1304" s="80" t="s">
        <v>232</v>
      </c>
    </row>
    <row r="1305">
      <c r="J1305" s="35" t="s">
        <v>1657</v>
      </c>
      <c r="K1305" s="87" t="str">
        <f>C62</f>
        <v>S1d</v>
      </c>
      <c r="N1305" s="75">
        <v>8721758.0</v>
      </c>
      <c r="O1305" s="75">
        <v>8853717.0</v>
      </c>
      <c r="P1305" s="80" t="s">
        <v>232</v>
      </c>
    </row>
    <row r="1306">
      <c r="J1306" s="35" t="s">
        <v>1658</v>
      </c>
      <c r="K1306" s="87" t="str">
        <f>C62</f>
        <v>S1d</v>
      </c>
      <c r="N1306" s="75">
        <v>8785046.0</v>
      </c>
      <c r="O1306" s="75">
        <v>8917005.0</v>
      </c>
      <c r="P1306" s="80" t="s">
        <v>221</v>
      </c>
    </row>
    <row r="1307">
      <c r="J1307" s="35" t="s">
        <v>1659</v>
      </c>
      <c r="K1307" s="87" t="str">
        <f>C62</f>
        <v>S1d</v>
      </c>
      <c r="N1307" s="74">
        <v>9111420.0</v>
      </c>
      <c r="O1307" s="75">
        <v>9273811.0</v>
      </c>
      <c r="P1307" s="80" t="s">
        <v>242</v>
      </c>
    </row>
    <row r="1308">
      <c r="J1308" s="35" t="s">
        <v>1660</v>
      </c>
      <c r="K1308" s="87" t="str">
        <f>C62</f>
        <v>S1d</v>
      </c>
      <c r="N1308" s="75">
        <v>9436401.0</v>
      </c>
      <c r="O1308" s="75">
        <v>9598792.0</v>
      </c>
      <c r="P1308" s="80" t="s">
        <v>219</v>
      </c>
    </row>
    <row r="1309">
      <c r="J1309" s="35" t="s">
        <v>1661</v>
      </c>
      <c r="K1309" s="87" t="str">
        <f>C62</f>
        <v>S1d</v>
      </c>
      <c r="N1309" s="75">
        <v>9873047.0</v>
      </c>
      <c r="O1309" s="75">
        <v>1.0035438E7</v>
      </c>
      <c r="P1309" s="80" t="s">
        <v>255</v>
      </c>
    </row>
    <row r="1310">
      <c r="J1310" s="35" t="s">
        <v>1662</v>
      </c>
      <c r="K1310" s="87" t="str">
        <f>C62</f>
        <v>S1d</v>
      </c>
      <c r="N1310" s="75">
        <v>9884070.0</v>
      </c>
      <c r="O1310" s="75">
        <v>1.0046461E7</v>
      </c>
      <c r="P1310" s="80" t="s">
        <v>221</v>
      </c>
    </row>
    <row r="1311">
      <c r="J1311" s="35" t="s">
        <v>1663</v>
      </c>
      <c r="K1311" s="87" t="str">
        <f>C62</f>
        <v>S1d</v>
      </c>
      <c r="N1311" s="75">
        <v>1.4000483E7</v>
      </c>
      <c r="O1311" s="75">
        <v>1.1879777E7</v>
      </c>
      <c r="P1311" s="80" t="s">
        <v>232</v>
      </c>
    </row>
    <row r="1312">
      <c r="J1312" s="35" t="s">
        <v>1664</v>
      </c>
      <c r="K1312" s="87" t="str">
        <f>C62</f>
        <v>S1d</v>
      </c>
      <c r="N1312" s="75">
        <v>1.4011831E7</v>
      </c>
      <c r="O1312" s="75">
        <v>1.1891125E7</v>
      </c>
      <c r="P1312" s="80" t="s">
        <v>219</v>
      </c>
    </row>
    <row r="1313">
      <c r="J1313" s="35" t="s">
        <v>1665</v>
      </c>
      <c r="K1313" s="87" t="str">
        <f>C62</f>
        <v>S1d</v>
      </c>
      <c r="N1313" s="75">
        <v>1.4014831E7</v>
      </c>
      <c r="O1313" s="75">
        <v>1.1894125E7</v>
      </c>
      <c r="P1313" s="80" t="s">
        <v>232</v>
      </c>
    </row>
    <row r="1314">
      <c r="J1314" s="35" t="s">
        <v>1666</v>
      </c>
      <c r="K1314" s="87" t="str">
        <f>C62</f>
        <v>S1d</v>
      </c>
      <c r="N1314" s="75">
        <v>1.4020549E7</v>
      </c>
      <c r="O1314" s="75">
        <v>1.1899843E7</v>
      </c>
      <c r="P1314" s="80" t="s">
        <v>224</v>
      </c>
    </row>
    <row r="1315">
      <c r="J1315" s="35" t="s">
        <v>1667</v>
      </c>
      <c r="K1315" s="87" t="str">
        <f>C62</f>
        <v>S1d</v>
      </c>
      <c r="N1315" s="75">
        <v>1.4022122E7</v>
      </c>
      <c r="O1315" s="75">
        <v>1.1901416E7</v>
      </c>
      <c r="P1315" s="80" t="s">
        <v>221</v>
      </c>
    </row>
    <row r="1316">
      <c r="J1316" s="35" t="s">
        <v>1668</v>
      </c>
      <c r="K1316" s="87" t="str">
        <f>C62</f>
        <v>S1d</v>
      </c>
      <c r="N1316" s="75">
        <v>1.4037387E7</v>
      </c>
      <c r="O1316" s="75">
        <v>1.1916681E7</v>
      </c>
      <c r="P1316" s="80" t="s">
        <v>216</v>
      </c>
    </row>
    <row r="1317">
      <c r="J1317" s="35" t="s">
        <v>1669</v>
      </c>
      <c r="K1317" s="87" t="str">
        <f>C62</f>
        <v>S1d</v>
      </c>
      <c r="N1317" s="75">
        <v>1.4072728E7</v>
      </c>
      <c r="O1317" s="75">
        <v>1.1952022E7</v>
      </c>
      <c r="P1317" s="80" t="s">
        <v>221</v>
      </c>
    </row>
    <row r="1318">
      <c r="J1318" s="35" t="s">
        <v>1670</v>
      </c>
      <c r="K1318" s="87" t="str">
        <f>C62</f>
        <v>S1d</v>
      </c>
      <c r="N1318" s="75">
        <v>1.4157631E7</v>
      </c>
      <c r="O1318" s="75">
        <v>1.2036925E7</v>
      </c>
      <c r="P1318" s="80" t="s">
        <v>255</v>
      </c>
    </row>
    <row r="1319">
      <c r="J1319" s="35" t="s">
        <v>1671</v>
      </c>
      <c r="K1319" s="87" t="str">
        <f>C62</f>
        <v>S1d</v>
      </c>
      <c r="N1319" s="90">
        <v>1.4160205E7</v>
      </c>
      <c r="O1319" s="90">
        <v>1.2039499E7</v>
      </c>
      <c r="P1319" s="91" t="s">
        <v>232</v>
      </c>
    </row>
    <row r="1320">
      <c r="J1320" s="35" t="s">
        <v>1672</v>
      </c>
      <c r="K1320" s="87" t="str">
        <f>C62</f>
        <v>S1d</v>
      </c>
      <c r="N1320" s="75">
        <v>1.4221554E7</v>
      </c>
      <c r="O1320" s="75">
        <v>1.2100848E7</v>
      </c>
      <c r="P1320" s="80" t="s">
        <v>232</v>
      </c>
    </row>
    <row r="1321">
      <c r="J1321" s="35" t="s">
        <v>1673</v>
      </c>
      <c r="K1321" s="87" t="str">
        <f>C62</f>
        <v>S1d</v>
      </c>
      <c r="N1321" s="75">
        <v>1.4314945E7</v>
      </c>
      <c r="O1321" s="75">
        <v>1.2194239E7</v>
      </c>
      <c r="P1321" s="80" t="s">
        <v>221</v>
      </c>
    </row>
    <row r="1322">
      <c r="J1322" s="35" t="s">
        <v>1674</v>
      </c>
      <c r="K1322" s="87" t="str">
        <f>C62</f>
        <v>S1d</v>
      </c>
      <c r="N1322" s="75">
        <v>1.4321752E7</v>
      </c>
      <c r="O1322" s="75">
        <v>1.2201046E7</v>
      </c>
      <c r="P1322" s="80" t="s">
        <v>229</v>
      </c>
    </row>
    <row r="1323">
      <c r="J1323" s="35" t="s">
        <v>1675</v>
      </c>
      <c r="K1323" s="87" t="str">
        <f>C62</f>
        <v>S1d</v>
      </c>
      <c r="N1323" s="75">
        <v>1.4328232E7</v>
      </c>
      <c r="O1323" s="75">
        <v>1.2207526E7</v>
      </c>
      <c r="P1323" s="80" t="s">
        <v>221</v>
      </c>
    </row>
    <row r="1324">
      <c r="J1324" s="35" t="s">
        <v>1676</v>
      </c>
      <c r="K1324" s="87" t="str">
        <f>C62</f>
        <v>S1d</v>
      </c>
      <c r="N1324" s="75">
        <v>1.4349E7</v>
      </c>
      <c r="O1324" s="75">
        <v>1.2228295E7</v>
      </c>
      <c r="P1324" s="80" t="s">
        <v>221</v>
      </c>
    </row>
    <row r="1325">
      <c r="J1325" s="35" t="s">
        <v>1677</v>
      </c>
      <c r="K1325" s="87" t="str">
        <f>C62</f>
        <v>S1d</v>
      </c>
      <c r="M1325" s="77" t="s">
        <v>1678</v>
      </c>
      <c r="N1325" s="75">
        <v>1.4382421E7</v>
      </c>
      <c r="O1325" s="75">
        <v>1.2261717E7</v>
      </c>
      <c r="P1325" s="80" t="s">
        <v>232</v>
      </c>
    </row>
    <row r="1326">
      <c r="J1326" s="35" t="s">
        <v>1679</v>
      </c>
      <c r="K1326" s="87" t="str">
        <f>C62</f>
        <v>S1d</v>
      </c>
      <c r="N1326" s="75">
        <v>1.4383772E7</v>
      </c>
      <c r="O1326" s="75">
        <v>1.2263068E7</v>
      </c>
      <c r="P1326" s="80" t="s">
        <v>221</v>
      </c>
    </row>
    <row r="1327">
      <c r="J1327" s="35" t="s">
        <v>1680</v>
      </c>
      <c r="K1327" s="87" t="str">
        <f>C62</f>
        <v>S1d</v>
      </c>
      <c r="N1327" s="74">
        <v>1.4387931E7</v>
      </c>
      <c r="O1327" s="75">
        <v>1.2267227E7</v>
      </c>
      <c r="P1327" s="80" t="s">
        <v>221</v>
      </c>
    </row>
    <row r="1328">
      <c r="J1328" s="35" t="s">
        <v>1681</v>
      </c>
      <c r="K1328" s="87" t="str">
        <f>C62</f>
        <v>S1d</v>
      </c>
      <c r="M1328" s="35" t="s">
        <v>1682</v>
      </c>
      <c r="N1328" s="75">
        <v>1.4389537E7</v>
      </c>
      <c r="O1328" s="75">
        <v>1.2268833E7</v>
      </c>
      <c r="P1328" s="80" t="s">
        <v>232</v>
      </c>
    </row>
    <row r="1329">
      <c r="J1329" s="35" t="s">
        <v>1683</v>
      </c>
      <c r="K1329" s="87" t="str">
        <f>C62</f>
        <v>S1d</v>
      </c>
      <c r="N1329" s="75">
        <v>1.4509796E7</v>
      </c>
      <c r="O1329" s="75">
        <v>1.2398001E7</v>
      </c>
      <c r="P1329" s="80" t="s">
        <v>221</v>
      </c>
    </row>
    <row r="1330">
      <c r="J1330" s="35" t="s">
        <v>1684</v>
      </c>
      <c r="K1330" s="87" t="str">
        <f>C62</f>
        <v>S1d</v>
      </c>
      <c r="N1330" s="75">
        <v>1.4522702E7</v>
      </c>
      <c r="O1330" s="75">
        <v>1.2410903E7</v>
      </c>
      <c r="P1330" s="80" t="s">
        <v>221</v>
      </c>
    </row>
    <row r="1331">
      <c r="J1331" s="35" t="s">
        <v>1685</v>
      </c>
      <c r="K1331" s="87" t="str">
        <f>C62</f>
        <v>S1d</v>
      </c>
      <c r="N1331" s="75">
        <v>1.4546179E7</v>
      </c>
      <c r="O1331" s="75">
        <v>1.243438E7</v>
      </c>
      <c r="P1331" s="80" t="s">
        <v>221</v>
      </c>
    </row>
    <row r="1332">
      <c r="J1332" s="35" t="s">
        <v>1686</v>
      </c>
      <c r="K1332" s="87" t="str">
        <f>C62</f>
        <v>S1d</v>
      </c>
      <c r="N1332" s="75">
        <v>1.4577523E7</v>
      </c>
      <c r="O1332" s="75">
        <v>1.2465723E7</v>
      </c>
      <c r="P1332" s="80" t="s">
        <v>232</v>
      </c>
    </row>
    <row r="1333">
      <c r="J1333" s="35" t="s">
        <v>1687</v>
      </c>
      <c r="K1333" s="87" t="str">
        <f>C62</f>
        <v>S1d</v>
      </c>
      <c r="N1333" s="75">
        <v>1.4590855E7</v>
      </c>
      <c r="O1333" s="75">
        <v>1.2479055E7</v>
      </c>
      <c r="P1333" s="80" t="s">
        <v>229</v>
      </c>
    </row>
    <row r="1334">
      <c r="J1334" s="35" t="s">
        <v>1688</v>
      </c>
      <c r="K1334" s="87" t="str">
        <f>C62</f>
        <v>S1d</v>
      </c>
      <c r="M1334" s="77" t="s">
        <v>1689</v>
      </c>
      <c r="N1334" s="75">
        <v>1.4641049E7</v>
      </c>
      <c r="O1334" s="75">
        <v>1.2529118E7</v>
      </c>
      <c r="P1334" s="80" t="s">
        <v>232</v>
      </c>
    </row>
    <row r="1335">
      <c r="J1335" s="35" t="s">
        <v>1690</v>
      </c>
      <c r="K1335" s="87" t="str">
        <f>C62</f>
        <v>S1d</v>
      </c>
      <c r="N1335" s="75">
        <v>1.4664988E7</v>
      </c>
      <c r="O1335" s="75">
        <v>1.2553054E7</v>
      </c>
      <c r="P1335" s="80" t="s">
        <v>221</v>
      </c>
    </row>
    <row r="1336">
      <c r="J1336" s="35" t="s">
        <v>1691</v>
      </c>
      <c r="K1336" s="87" t="str">
        <f>C62</f>
        <v>S1d</v>
      </c>
      <c r="N1336" s="75">
        <v>1.4754842E7</v>
      </c>
      <c r="O1336" s="75">
        <v>1.2642911E7</v>
      </c>
      <c r="P1336" s="80" t="s">
        <v>221</v>
      </c>
    </row>
    <row r="1337">
      <c r="J1337" s="35" t="s">
        <v>1692</v>
      </c>
      <c r="K1337" s="87" t="str">
        <f>C62</f>
        <v>S1d</v>
      </c>
      <c r="N1337" s="74">
        <v>1.4837101E7</v>
      </c>
      <c r="O1337" s="75">
        <v>1.2725168E7</v>
      </c>
      <c r="P1337" s="80" t="s">
        <v>219</v>
      </c>
    </row>
    <row r="1338">
      <c r="J1338" s="35" t="s">
        <v>1693</v>
      </c>
      <c r="K1338" s="87" t="str">
        <f>C62</f>
        <v>S1d</v>
      </c>
      <c r="N1338" s="75">
        <v>1.4950838E7</v>
      </c>
      <c r="O1338" s="75">
        <v>1.2838912E7</v>
      </c>
      <c r="P1338" s="80" t="s">
        <v>221</v>
      </c>
    </row>
    <row r="1339">
      <c r="J1339" s="35" t="s">
        <v>1694</v>
      </c>
      <c r="K1339" s="87" t="str">
        <f>C62</f>
        <v>S1d</v>
      </c>
      <c r="N1339" s="75">
        <v>1.5033471E7</v>
      </c>
      <c r="O1339" s="75">
        <v>1.2921559E7</v>
      </c>
      <c r="P1339" s="80" t="s">
        <v>219</v>
      </c>
    </row>
    <row r="1340">
      <c r="J1340" s="35" t="s">
        <v>1695</v>
      </c>
      <c r="K1340" s="87" t="str">
        <f>C62</f>
        <v>S1d</v>
      </c>
      <c r="N1340" s="75">
        <v>1.5143331E7</v>
      </c>
      <c r="O1340" s="75">
        <v>1.3031418E7</v>
      </c>
      <c r="P1340" s="80" t="s">
        <v>221</v>
      </c>
    </row>
    <row r="1341">
      <c r="J1341" s="35" t="s">
        <v>1696</v>
      </c>
      <c r="K1341" s="87" t="str">
        <f>C62</f>
        <v>S1d</v>
      </c>
      <c r="N1341" s="75">
        <v>1.5150855E7</v>
      </c>
      <c r="O1341" s="75">
        <v>1.3038942E7</v>
      </c>
      <c r="P1341" s="80" t="s">
        <v>283</v>
      </c>
    </row>
    <row r="1342">
      <c r="J1342" s="35" t="s">
        <v>1697</v>
      </c>
      <c r="K1342" s="87" t="str">
        <f>C62</f>
        <v>S1d</v>
      </c>
      <c r="N1342" s="75">
        <v>1.5165261E7</v>
      </c>
      <c r="O1342" s="75">
        <v>1.3053347E7</v>
      </c>
      <c r="P1342" s="80" t="s">
        <v>232</v>
      </c>
    </row>
    <row r="1343">
      <c r="J1343" s="35" t="s">
        <v>1698</v>
      </c>
      <c r="K1343" s="87" t="str">
        <f>C62</f>
        <v>S1d</v>
      </c>
      <c r="N1343" s="75">
        <v>1.5424849E7</v>
      </c>
      <c r="O1343" s="75">
        <v>1.3312969E7</v>
      </c>
      <c r="P1343" s="80" t="s">
        <v>224</v>
      </c>
    </row>
    <row r="1344">
      <c r="J1344" s="35" t="s">
        <v>1699</v>
      </c>
      <c r="K1344" s="87" t="str">
        <f>C62</f>
        <v>S1d</v>
      </c>
      <c r="N1344" s="75">
        <v>1.5426414E7</v>
      </c>
      <c r="O1344" s="75">
        <v>1.3314534E7</v>
      </c>
      <c r="P1344" s="80" t="s">
        <v>221</v>
      </c>
    </row>
    <row r="1345">
      <c r="J1345" s="35" t="s">
        <v>1700</v>
      </c>
      <c r="K1345" s="87" t="str">
        <f>C62</f>
        <v>S1d</v>
      </c>
      <c r="N1345" s="75">
        <v>1.5445677E7</v>
      </c>
      <c r="O1345" s="75">
        <v>1.3333797E7</v>
      </c>
      <c r="P1345" s="80" t="s">
        <v>219</v>
      </c>
    </row>
    <row r="1346">
      <c r="J1346" s="35" t="s">
        <v>1701</v>
      </c>
      <c r="K1346" s="87" t="str">
        <f>C62</f>
        <v>S1d</v>
      </c>
      <c r="N1346" s="74">
        <v>1.5508135E7</v>
      </c>
      <c r="O1346" s="75">
        <v>1.3396255E7</v>
      </c>
      <c r="P1346" s="80" t="s">
        <v>219</v>
      </c>
    </row>
    <row r="1347">
      <c r="J1347" s="35" t="s">
        <v>1702</v>
      </c>
      <c r="K1347" s="87" t="str">
        <f>C62</f>
        <v>S1d</v>
      </c>
      <c r="N1347" s="75">
        <v>1.5544437E7</v>
      </c>
      <c r="O1347" s="75">
        <v>1.3432557E7</v>
      </c>
      <c r="P1347" s="80" t="s">
        <v>221</v>
      </c>
    </row>
    <row r="1348">
      <c r="J1348" s="35" t="s">
        <v>1703</v>
      </c>
      <c r="K1348" s="87" t="str">
        <f>C62</f>
        <v>S1d</v>
      </c>
      <c r="N1348" s="75">
        <v>1.5631812E7</v>
      </c>
      <c r="O1348" s="75">
        <v>1.3519932E7</v>
      </c>
      <c r="P1348" s="80" t="s">
        <v>229</v>
      </c>
    </row>
    <row r="1349">
      <c r="J1349" s="35" t="s">
        <v>1704</v>
      </c>
      <c r="K1349" s="87" t="str">
        <f>C62</f>
        <v>S1d</v>
      </c>
      <c r="N1349" s="75">
        <v>1.5634434E7</v>
      </c>
      <c r="O1349" s="75">
        <v>1.3522554E7</v>
      </c>
      <c r="P1349" s="80" t="s">
        <v>285</v>
      </c>
    </row>
    <row r="1350">
      <c r="J1350" s="35" t="s">
        <v>1705</v>
      </c>
      <c r="K1350" s="87" t="str">
        <f>C62</f>
        <v>S1d</v>
      </c>
      <c r="N1350" s="75">
        <v>1.5700147E7</v>
      </c>
      <c r="O1350" s="75">
        <v>1.3588267E7</v>
      </c>
      <c r="P1350" s="80" t="s">
        <v>224</v>
      </c>
    </row>
    <row r="1351">
      <c r="J1351" s="35" t="s">
        <v>1706</v>
      </c>
      <c r="K1351" s="87" t="str">
        <f>C62</f>
        <v>S1d</v>
      </c>
      <c r="N1351" s="75">
        <v>1.5889027E7</v>
      </c>
      <c r="O1351" s="75">
        <v>1.3777147E7</v>
      </c>
      <c r="P1351" s="80" t="s">
        <v>221</v>
      </c>
    </row>
    <row r="1352">
      <c r="J1352" s="35" t="s">
        <v>1707</v>
      </c>
      <c r="K1352" s="87" t="str">
        <f>C62</f>
        <v>S1d</v>
      </c>
      <c r="N1352" s="75">
        <v>1.5897343E7</v>
      </c>
      <c r="O1352" s="75">
        <v>1.3785463E7</v>
      </c>
      <c r="P1352" s="80" t="s">
        <v>221</v>
      </c>
    </row>
    <row r="1353">
      <c r="J1353" s="35" t="s">
        <v>1708</v>
      </c>
      <c r="K1353" s="87" t="str">
        <f>C62</f>
        <v>S1d</v>
      </c>
      <c r="N1353" s="75">
        <v>1.5904953E7</v>
      </c>
      <c r="O1353" s="75">
        <v>1.3793073E7</v>
      </c>
      <c r="P1353" s="80" t="s">
        <v>219</v>
      </c>
    </row>
    <row r="1354">
      <c r="J1354" s="35" t="s">
        <v>1709</v>
      </c>
      <c r="K1354" s="87" t="str">
        <f>C62</f>
        <v>S1d</v>
      </c>
      <c r="N1354" s="75">
        <v>1.5954109E7</v>
      </c>
      <c r="O1354" s="75">
        <v>1.3842229E7</v>
      </c>
      <c r="P1354" s="80" t="s">
        <v>232</v>
      </c>
    </row>
    <row r="1355">
      <c r="J1355" s="35" t="s">
        <v>1710</v>
      </c>
      <c r="K1355" s="87" t="str">
        <f>C62</f>
        <v>S1d</v>
      </c>
      <c r="N1355" s="75">
        <v>1.5994776E7</v>
      </c>
      <c r="O1355" s="75">
        <v>1.3882896E7</v>
      </c>
      <c r="P1355" s="80" t="s">
        <v>224</v>
      </c>
    </row>
    <row r="1356">
      <c r="J1356" s="35" t="s">
        <v>1711</v>
      </c>
      <c r="K1356" s="87" t="str">
        <f>C62</f>
        <v>S1d</v>
      </c>
      <c r="N1356" s="74">
        <v>1.6210811E7</v>
      </c>
      <c r="O1356" s="75">
        <v>1.4098931E7</v>
      </c>
      <c r="P1356" s="80" t="s">
        <v>224</v>
      </c>
    </row>
    <row r="1357">
      <c r="J1357" s="35" t="s">
        <v>1712</v>
      </c>
      <c r="K1357" s="87" t="str">
        <f>C62</f>
        <v>S1d</v>
      </c>
      <c r="N1357" s="75">
        <v>1.6261708E7</v>
      </c>
      <c r="O1357" s="75">
        <v>1.4149828E7</v>
      </c>
      <c r="P1357" s="80" t="s">
        <v>221</v>
      </c>
    </row>
    <row r="1358">
      <c r="J1358" s="35" t="s">
        <v>1713</v>
      </c>
      <c r="K1358" s="87" t="str">
        <f>C62</f>
        <v>S1d</v>
      </c>
      <c r="N1358" s="75">
        <v>1.6349861E7</v>
      </c>
      <c r="O1358" s="75">
        <v>1.4237981E7</v>
      </c>
      <c r="P1358" s="80" t="s">
        <v>221</v>
      </c>
    </row>
    <row r="1359">
      <c r="J1359" s="35" t="s">
        <v>1714</v>
      </c>
      <c r="K1359" s="87" t="str">
        <f>C62</f>
        <v>S1d</v>
      </c>
      <c r="N1359" s="75">
        <v>1.6351858E7</v>
      </c>
      <c r="O1359" s="75">
        <v>1.4239978E7</v>
      </c>
      <c r="P1359" s="80" t="s">
        <v>221</v>
      </c>
    </row>
    <row r="1360">
      <c r="J1360" s="35" t="s">
        <v>1715</v>
      </c>
      <c r="K1360" s="87" t="str">
        <f>C62</f>
        <v>S1d</v>
      </c>
      <c r="N1360" s="75">
        <v>1.6364734E7</v>
      </c>
      <c r="O1360" s="75">
        <v>1.4252854E7</v>
      </c>
      <c r="P1360" s="80" t="s">
        <v>221</v>
      </c>
    </row>
    <row r="1361">
      <c r="J1361" s="35" t="s">
        <v>1716</v>
      </c>
      <c r="K1361" s="87" t="str">
        <f>C62</f>
        <v>S1d</v>
      </c>
      <c r="N1361" s="75">
        <v>1.636557E7</v>
      </c>
      <c r="O1361" s="75">
        <v>1.425369E7</v>
      </c>
      <c r="P1361" s="80" t="s">
        <v>219</v>
      </c>
    </row>
    <row r="1362">
      <c r="J1362" s="35" t="s">
        <v>1717</v>
      </c>
      <c r="K1362" s="87" t="str">
        <f>C62</f>
        <v>S1d</v>
      </c>
      <c r="N1362" s="75">
        <v>1.6412477E7</v>
      </c>
      <c r="O1362" s="75">
        <v>1.4300597E7</v>
      </c>
      <c r="P1362" s="80" t="s">
        <v>216</v>
      </c>
    </row>
    <row r="1363">
      <c r="J1363" s="35" t="s">
        <v>1718</v>
      </c>
      <c r="K1363" s="87" t="str">
        <f>C62</f>
        <v>S1d</v>
      </c>
      <c r="N1363" s="75">
        <v>1.6426043E7</v>
      </c>
      <c r="O1363" s="75">
        <v>1.4314163E7</v>
      </c>
      <c r="P1363" s="80" t="s">
        <v>232</v>
      </c>
    </row>
    <row r="1364">
      <c r="J1364" s="35" t="s">
        <v>1719</v>
      </c>
      <c r="K1364" s="87" t="str">
        <f>C62</f>
        <v>S1d</v>
      </c>
      <c r="N1364" s="75">
        <v>1.6426619E7</v>
      </c>
      <c r="O1364" s="75">
        <v>1.4314739E7</v>
      </c>
      <c r="P1364" s="80" t="s">
        <v>216</v>
      </c>
    </row>
    <row r="1365">
      <c r="J1365" s="35" t="s">
        <v>1720</v>
      </c>
      <c r="K1365" s="87" t="str">
        <f>C62</f>
        <v>S1d</v>
      </c>
      <c r="N1365" s="75">
        <v>1.6495626E7</v>
      </c>
      <c r="O1365" s="75">
        <v>1.4383746E7</v>
      </c>
      <c r="P1365" s="80" t="s">
        <v>232</v>
      </c>
    </row>
    <row r="1366">
      <c r="J1366" s="35" t="s">
        <v>1721</v>
      </c>
      <c r="K1366" s="87" t="str">
        <f>C62</f>
        <v>S1d</v>
      </c>
      <c r="N1366" s="74">
        <v>1.6503222E7</v>
      </c>
      <c r="O1366" s="75">
        <v>1.4391342E7</v>
      </c>
      <c r="P1366" s="80" t="s">
        <v>232</v>
      </c>
    </row>
    <row r="1367">
      <c r="J1367" s="35" t="s">
        <v>1722</v>
      </c>
      <c r="K1367" s="87" t="str">
        <f>C62</f>
        <v>S1d</v>
      </c>
      <c r="N1367" s="75">
        <v>1.6523093E7</v>
      </c>
      <c r="O1367" s="75">
        <v>1.4411213E7</v>
      </c>
      <c r="P1367" s="80" t="s">
        <v>232</v>
      </c>
    </row>
    <row r="1368">
      <c r="J1368" s="35" t="s">
        <v>1723</v>
      </c>
      <c r="K1368" s="87" t="str">
        <f>C62</f>
        <v>S1d</v>
      </c>
      <c r="N1368" s="75">
        <v>1.6537029E7</v>
      </c>
      <c r="O1368" s="75">
        <v>1.4425149E7</v>
      </c>
      <c r="P1368" s="80" t="s">
        <v>232</v>
      </c>
    </row>
    <row r="1369">
      <c r="J1369" s="35" t="s">
        <v>1724</v>
      </c>
      <c r="K1369" s="87" t="str">
        <f>C62</f>
        <v>S1d</v>
      </c>
      <c r="N1369" s="75">
        <v>1.6566811E7</v>
      </c>
      <c r="O1369" s="75">
        <v>1.4454931E7</v>
      </c>
      <c r="P1369" s="80" t="s">
        <v>221</v>
      </c>
    </row>
    <row r="1370">
      <c r="J1370" s="35" t="s">
        <v>1725</v>
      </c>
      <c r="K1370" s="87" t="str">
        <f>C62</f>
        <v>S1d</v>
      </c>
      <c r="N1370" s="75">
        <v>1.6617722E7</v>
      </c>
      <c r="O1370" s="75">
        <v>1.4505842E7</v>
      </c>
      <c r="P1370" s="80" t="s">
        <v>255</v>
      </c>
    </row>
    <row r="1371">
      <c r="J1371" s="35" t="s">
        <v>1726</v>
      </c>
      <c r="K1371" s="87" t="str">
        <f>C62</f>
        <v>S1d</v>
      </c>
      <c r="N1371" s="75">
        <v>1.6620719E7</v>
      </c>
      <c r="O1371" s="75">
        <v>1.4508839E7</v>
      </c>
      <c r="P1371" s="80" t="s">
        <v>221</v>
      </c>
    </row>
    <row r="1372">
      <c r="J1372" s="35" t="s">
        <v>1727</v>
      </c>
      <c r="K1372" s="87" t="str">
        <f>C62</f>
        <v>S1d</v>
      </c>
      <c r="N1372" s="75">
        <v>1.6636608E7</v>
      </c>
      <c r="O1372" s="75">
        <v>1.4524728E7</v>
      </c>
      <c r="P1372" s="80" t="s">
        <v>219</v>
      </c>
    </row>
    <row r="1373">
      <c r="J1373" s="35" t="s">
        <v>1728</v>
      </c>
      <c r="K1373" s="87" t="str">
        <f>C62</f>
        <v>S1d</v>
      </c>
      <c r="N1373" s="75">
        <v>1.6716751E7</v>
      </c>
      <c r="O1373" s="75">
        <v>1.4604871E7</v>
      </c>
      <c r="P1373" s="80" t="s">
        <v>232</v>
      </c>
    </row>
    <row r="1374">
      <c r="J1374" s="35" t="s">
        <v>1729</v>
      </c>
      <c r="K1374" s="87" t="str">
        <f>C62</f>
        <v>S1d</v>
      </c>
      <c r="N1374" s="75">
        <v>1.6739484E7</v>
      </c>
      <c r="O1374" s="75">
        <v>1.4627604E7</v>
      </c>
      <c r="P1374" s="80" t="s">
        <v>221</v>
      </c>
    </row>
    <row r="1375">
      <c r="J1375" s="35" t="s">
        <v>1730</v>
      </c>
      <c r="K1375" s="87" t="str">
        <f>C62</f>
        <v>S1d</v>
      </c>
      <c r="N1375" s="75">
        <v>1.6836106E7</v>
      </c>
      <c r="O1375" s="75">
        <v>1.4724226E7</v>
      </c>
      <c r="P1375" s="80" t="s">
        <v>221</v>
      </c>
    </row>
    <row r="1376">
      <c r="J1376" s="35" t="s">
        <v>1731</v>
      </c>
      <c r="K1376" s="87" t="str">
        <f>C62</f>
        <v>S1d</v>
      </c>
      <c r="N1376" s="74">
        <v>1.6956575E7</v>
      </c>
      <c r="O1376" s="75">
        <v>1.4844695E7</v>
      </c>
      <c r="P1376" s="80" t="s">
        <v>219</v>
      </c>
    </row>
    <row r="1377">
      <c r="J1377" s="35" t="s">
        <v>1732</v>
      </c>
      <c r="K1377" s="87" t="str">
        <f>C62</f>
        <v>S1d</v>
      </c>
      <c r="N1377" s="75">
        <v>1.6971068E7</v>
      </c>
      <c r="O1377" s="75">
        <v>1.4859188E7</v>
      </c>
      <c r="P1377" s="80" t="s">
        <v>221</v>
      </c>
    </row>
    <row r="1378">
      <c r="J1378" s="35" t="s">
        <v>1733</v>
      </c>
      <c r="K1378" s="87" t="str">
        <f>C62</f>
        <v>S1d</v>
      </c>
      <c r="N1378" s="75">
        <v>1.6973919E7</v>
      </c>
      <c r="O1378" s="75">
        <v>1.4862039E7</v>
      </c>
      <c r="P1378" s="80" t="s">
        <v>232</v>
      </c>
    </row>
    <row r="1379">
      <c r="J1379" s="35" t="s">
        <v>1734</v>
      </c>
      <c r="K1379" s="87" t="str">
        <f>C62</f>
        <v>S1d</v>
      </c>
      <c r="N1379" s="75">
        <v>1.6985676E7</v>
      </c>
      <c r="O1379" s="75">
        <v>1.4873796E7</v>
      </c>
      <c r="P1379" s="80" t="s">
        <v>242</v>
      </c>
    </row>
    <row r="1380">
      <c r="J1380" s="35" t="s">
        <v>1735</v>
      </c>
      <c r="K1380" s="87" t="str">
        <f>C62</f>
        <v>S1d</v>
      </c>
      <c r="N1380" s="75">
        <v>1.7029783E7</v>
      </c>
      <c r="O1380" s="75">
        <v>1.4917903E7</v>
      </c>
      <c r="P1380" s="80" t="s">
        <v>283</v>
      </c>
    </row>
    <row r="1381">
      <c r="J1381" s="35" t="s">
        <v>1736</v>
      </c>
      <c r="K1381" s="87" t="str">
        <f>C62</f>
        <v>S1d</v>
      </c>
      <c r="N1381" s="75">
        <v>1.7030135E7</v>
      </c>
      <c r="O1381" s="75">
        <v>1.4918255E7</v>
      </c>
      <c r="P1381" s="80" t="s">
        <v>255</v>
      </c>
    </row>
    <row r="1382">
      <c r="J1382" s="35" t="s">
        <v>1737</v>
      </c>
      <c r="K1382" s="87" t="str">
        <f>C62</f>
        <v>S1d</v>
      </c>
      <c r="N1382" s="75">
        <v>1.704266E7</v>
      </c>
      <c r="O1382" s="75">
        <v>1.493078E7</v>
      </c>
      <c r="P1382" s="80" t="s">
        <v>232</v>
      </c>
    </row>
    <row r="1383">
      <c r="J1383" s="35" t="s">
        <v>1738</v>
      </c>
      <c r="K1383" s="87" t="str">
        <f>C62</f>
        <v>S1d</v>
      </c>
      <c r="N1383" s="75">
        <v>1.7048816E7</v>
      </c>
      <c r="O1383" s="75">
        <v>1.4936936E7</v>
      </c>
      <c r="P1383" s="80" t="s">
        <v>229</v>
      </c>
    </row>
    <row r="1384">
      <c r="J1384" s="35" t="s">
        <v>1739</v>
      </c>
      <c r="K1384" s="87" t="str">
        <f>C62</f>
        <v>S1d</v>
      </c>
      <c r="N1384" s="75">
        <v>1.7096495E7</v>
      </c>
      <c r="O1384" s="75">
        <v>1.4984615E7</v>
      </c>
      <c r="P1384" s="80" t="s">
        <v>283</v>
      </c>
    </row>
    <row r="1385">
      <c r="J1385" s="35" t="s">
        <v>1740</v>
      </c>
      <c r="K1385" s="87" t="str">
        <f>C62</f>
        <v>S1d</v>
      </c>
      <c r="N1385" s="75">
        <v>1.7151276E7</v>
      </c>
      <c r="O1385" s="75">
        <v>1.5039396E7</v>
      </c>
      <c r="P1385" s="80" t="s">
        <v>219</v>
      </c>
    </row>
    <row r="1386">
      <c r="J1386" s="35" t="s">
        <v>1741</v>
      </c>
      <c r="K1386" s="87" t="str">
        <f>C62</f>
        <v>S1d</v>
      </c>
      <c r="M1386" s="77" t="s">
        <v>1742</v>
      </c>
      <c r="N1386" s="74">
        <v>1.7192688E7</v>
      </c>
      <c r="O1386" s="75">
        <v>1.5080808E7</v>
      </c>
      <c r="P1386" s="80" t="s">
        <v>221</v>
      </c>
    </row>
    <row r="1387">
      <c r="J1387" s="35" t="s">
        <v>1743</v>
      </c>
      <c r="K1387" s="87" t="str">
        <f>C62</f>
        <v>S1d</v>
      </c>
      <c r="N1387" s="75">
        <v>1.722579E7</v>
      </c>
      <c r="O1387" s="75">
        <v>1.511391E7</v>
      </c>
      <c r="P1387" s="80" t="s">
        <v>229</v>
      </c>
    </row>
    <row r="1388">
      <c r="J1388" s="35" t="s">
        <v>1744</v>
      </c>
      <c r="K1388" s="87" t="str">
        <f>C62</f>
        <v>S1d</v>
      </c>
      <c r="N1388" s="75">
        <v>1.7292605E7</v>
      </c>
      <c r="O1388" s="75">
        <v>1.5180725E7</v>
      </c>
      <c r="P1388" s="80" t="s">
        <v>219</v>
      </c>
    </row>
    <row r="1389">
      <c r="J1389" s="35" t="s">
        <v>1745</v>
      </c>
      <c r="K1389" s="87" t="str">
        <f>C62</f>
        <v>S1d</v>
      </c>
      <c r="N1389" s="75">
        <v>1.7319841E7</v>
      </c>
      <c r="O1389" s="75">
        <v>1.5207961E7</v>
      </c>
      <c r="P1389" s="80" t="s">
        <v>216</v>
      </c>
    </row>
    <row r="1390">
      <c r="J1390" s="35" t="s">
        <v>1746</v>
      </c>
      <c r="K1390" s="87" t="str">
        <f>C62</f>
        <v>S1d</v>
      </c>
      <c r="N1390" s="75">
        <v>1.7385702E7</v>
      </c>
      <c r="O1390" s="75">
        <v>1.5273822E7</v>
      </c>
      <c r="P1390" s="80" t="s">
        <v>221</v>
      </c>
    </row>
    <row r="1391">
      <c r="J1391" s="35" t="s">
        <v>1747</v>
      </c>
      <c r="K1391" s="87" t="str">
        <f>C62</f>
        <v>S1d</v>
      </c>
      <c r="M1391" s="77" t="s">
        <v>1748</v>
      </c>
      <c r="N1391" s="75">
        <v>1.7413749E7</v>
      </c>
      <c r="O1391" s="75">
        <v>1.5301869E7</v>
      </c>
      <c r="P1391" s="80" t="s">
        <v>232</v>
      </c>
    </row>
    <row r="1392">
      <c r="J1392" s="35" t="s">
        <v>1749</v>
      </c>
      <c r="K1392" s="87" t="str">
        <f>C62</f>
        <v>S1d</v>
      </c>
      <c r="N1392" s="75">
        <v>1.7548954E7</v>
      </c>
      <c r="O1392" s="75">
        <v>1.5437074E7</v>
      </c>
      <c r="P1392" s="80" t="s">
        <v>221</v>
      </c>
    </row>
    <row r="1393">
      <c r="J1393" s="35" t="s">
        <v>1750</v>
      </c>
      <c r="K1393" s="87" t="str">
        <f>C62</f>
        <v>S1d</v>
      </c>
      <c r="N1393" s="75">
        <v>1.7588318E7</v>
      </c>
      <c r="O1393" s="75">
        <v>1.5476438E7</v>
      </c>
      <c r="P1393" s="80" t="s">
        <v>242</v>
      </c>
    </row>
    <row r="1394">
      <c r="J1394" s="35" t="s">
        <v>1751</v>
      </c>
      <c r="K1394" s="87" t="str">
        <f>C62</f>
        <v>S1d</v>
      </c>
      <c r="M1394" s="77" t="s">
        <v>1752</v>
      </c>
      <c r="N1394" s="75">
        <v>1.7611794E7</v>
      </c>
      <c r="O1394" s="75">
        <v>1.5499914E7</v>
      </c>
      <c r="P1394" s="80" t="s">
        <v>232</v>
      </c>
    </row>
    <row r="1395">
      <c r="J1395" s="35" t="s">
        <v>1753</v>
      </c>
      <c r="K1395" s="87" t="str">
        <f>C62</f>
        <v>S1d</v>
      </c>
      <c r="N1395" s="75">
        <v>1.7682835E7</v>
      </c>
      <c r="O1395" s="75">
        <v>1.5570955E7</v>
      </c>
      <c r="P1395" s="80" t="s">
        <v>242</v>
      </c>
    </row>
    <row r="1396">
      <c r="J1396" s="35" t="s">
        <v>1754</v>
      </c>
      <c r="K1396" s="87" t="str">
        <f>C62</f>
        <v>S1d</v>
      </c>
      <c r="N1396" s="75">
        <v>1.7685118E7</v>
      </c>
      <c r="O1396" s="75">
        <v>1.5573238E7</v>
      </c>
      <c r="P1396" s="80" t="s">
        <v>221</v>
      </c>
    </row>
    <row r="1397">
      <c r="J1397" s="35" t="s">
        <v>1755</v>
      </c>
      <c r="K1397" s="87" t="str">
        <f>C62</f>
        <v>S1d</v>
      </c>
      <c r="N1397" s="74">
        <v>1.769634E7</v>
      </c>
      <c r="O1397" s="75">
        <v>1.558446E7</v>
      </c>
      <c r="P1397" s="80" t="s">
        <v>216</v>
      </c>
    </row>
    <row r="1398">
      <c r="J1398" s="35" t="s">
        <v>1756</v>
      </c>
      <c r="K1398" s="87" t="str">
        <f>C62</f>
        <v>S1d</v>
      </c>
      <c r="N1398" s="75">
        <v>1.7700945E7</v>
      </c>
      <c r="O1398" s="75">
        <v>1.5589065E7</v>
      </c>
      <c r="P1398" s="80" t="s">
        <v>224</v>
      </c>
    </row>
    <row r="1399">
      <c r="J1399" s="35" t="s">
        <v>1757</v>
      </c>
      <c r="K1399" s="87" t="str">
        <f>C62</f>
        <v>S1d</v>
      </c>
      <c r="N1399" s="75">
        <v>1.7744559E7</v>
      </c>
      <c r="O1399" s="75">
        <v>1.5632679E7</v>
      </c>
      <c r="P1399" s="80" t="s">
        <v>255</v>
      </c>
    </row>
    <row r="1400">
      <c r="J1400" s="35" t="s">
        <v>1758</v>
      </c>
      <c r="K1400" s="87" t="str">
        <f>C62</f>
        <v>S1d</v>
      </c>
      <c r="N1400" s="75">
        <v>1.777649E7</v>
      </c>
      <c r="O1400" s="75">
        <v>1.566461E7</v>
      </c>
      <c r="P1400" s="80" t="s">
        <v>229</v>
      </c>
    </row>
    <row r="1401">
      <c r="J1401" s="35" t="s">
        <v>1759</v>
      </c>
      <c r="K1401" s="87" t="str">
        <f>C62</f>
        <v>S1d</v>
      </c>
      <c r="N1401" s="75">
        <v>1.7828449E7</v>
      </c>
      <c r="O1401" s="75">
        <v>1.5716569E7</v>
      </c>
      <c r="P1401" s="80" t="s">
        <v>216</v>
      </c>
    </row>
    <row r="1402">
      <c r="J1402" s="35" t="s">
        <v>1760</v>
      </c>
      <c r="K1402" s="87" t="str">
        <f>C62</f>
        <v>S1d</v>
      </c>
      <c r="N1402" s="74">
        <v>1.7831503E7</v>
      </c>
      <c r="O1402" s="75">
        <v>1.5719623E7</v>
      </c>
      <c r="P1402" s="80" t="s">
        <v>216</v>
      </c>
    </row>
    <row r="1403">
      <c r="J1403" s="35" t="s">
        <v>1761</v>
      </c>
      <c r="K1403" s="87" t="str">
        <f>C62</f>
        <v>S1d</v>
      </c>
      <c r="N1403" s="75">
        <v>1.7841795E7</v>
      </c>
      <c r="O1403" s="75">
        <v>1.5729915E7</v>
      </c>
      <c r="P1403" s="80" t="s">
        <v>229</v>
      </c>
    </row>
    <row r="1404">
      <c r="J1404" s="35" t="s">
        <v>1762</v>
      </c>
      <c r="K1404" s="87" t="str">
        <f>C62</f>
        <v>S1d</v>
      </c>
      <c r="N1404" s="75">
        <v>1.7853158E7</v>
      </c>
      <c r="O1404" s="75">
        <v>1.5741278E7</v>
      </c>
      <c r="P1404" s="80" t="s">
        <v>221</v>
      </c>
    </row>
    <row r="1405">
      <c r="J1405" s="35" t="s">
        <v>1763</v>
      </c>
      <c r="K1405" s="87" t="str">
        <f>C62</f>
        <v>S1d</v>
      </c>
      <c r="N1405" s="75">
        <v>1.7863867E7</v>
      </c>
      <c r="O1405" s="75">
        <v>1.5751987E7</v>
      </c>
      <c r="P1405" s="80" t="s">
        <v>219</v>
      </c>
    </row>
    <row r="1406">
      <c r="J1406" s="35" t="s">
        <v>1764</v>
      </c>
      <c r="K1406" s="87" t="str">
        <f>C62</f>
        <v>S1d</v>
      </c>
      <c r="N1406" s="75">
        <v>1.7923081E7</v>
      </c>
      <c r="O1406" s="75">
        <v>1.5811201E7</v>
      </c>
      <c r="P1406" s="80" t="s">
        <v>255</v>
      </c>
    </row>
    <row r="1407">
      <c r="J1407" s="35" t="s">
        <v>1765</v>
      </c>
      <c r="K1407" s="87" t="str">
        <f>C62</f>
        <v>S1d</v>
      </c>
      <c r="N1407" s="75">
        <v>1.7927838E7</v>
      </c>
      <c r="O1407" s="75">
        <v>1.5815958E7</v>
      </c>
      <c r="P1407" s="80" t="s">
        <v>232</v>
      </c>
    </row>
    <row r="1408">
      <c r="J1408" s="35" t="s">
        <v>1766</v>
      </c>
      <c r="K1408" s="87" t="str">
        <f>C62</f>
        <v>S1d</v>
      </c>
      <c r="N1408" s="75">
        <v>1.7931758E7</v>
      </c>
      <c r="O1408" s="75">
        <v>1.5819878E7</v>
      </c>
      <c r="P1408" s="80" t="s">
        <v>232</v>
      </c>
    </row>
    <row r="1409">
      <c r="J1409" s="35" t="s">
        <v>1767</v>
      </c>
      <c r="K1409" s="87" t="str">
        <f>C62</f>
        <v>S1d</v>
      </c>
      <c r="N1409" s="75">
        <v>1.8068704E7</v>
      </c>
      <c r="O1409" s="75">
        <v>1.5956824E7</v>
      </c>
      <c r="P1409" s="80" t="s">
        <v>232</v>
      </c>
    </row>
    <row r="1410">
      <c r="J1410" s="35" t="s">
        <v>1768</v>
      </c>
      <c r="K1410" s="87" t="str">
        <f>C62</f>
        <v>S1d</v>
      </c>
      <c r="N1410" s="75">
        <v>1.8081555E7</v>
      </c>
      <c r="O1410" s="75">
        <v>1.5969675E7</v>
      </c>
      <c r="P1410" s="80" t="s">
        <v>216</v>
      </c>
    </row>
    <row r="1411">
      <c r="J1411" s="35" t="s">
        <v>1769</v>
      </c>
      <c r="K1411" s="87" t="str">
        <f>C62</f>
        <v>S1d</v>
      </c>
      <c r="N1411" s="75">
        <v>1.8114318E7</v>
      </c>
      <c r="O1411" s="75">
        <v>1.6002438E7</v>
      </c>
      <c r="P1411" s="80" t="s">
        <v>216</v>
      </c>
    </row>
    <row r="1412">
      <c r="J1412" s="35" t="s">
        <v>1770</v>
      </c>
      <c r="K1412" s="87" t="str">
        <f>C62</f>
        <v>S1d</v>
      </c>
      <c r="M1412" s="77" t="s">
        <v>1771</v>
      </c>
      <c r="N1412" s="75">
        <v>1.8133615E7</v>
      </c>
      <c r="O1412" s="75">
        <v>1.6021735E7</v>
      </c>
      <c r="P1412" s="80" t="s">
        <v>232</v>
      </c>
    </row>
    <row r="1413">
      <c r="J1413" s="35" t="s">
        <v>1772</v>
      </c>
      <c r="K1413" s="87" t="str">
        <f>C62</f>
        <v>S1d</v>
      </c>
      <c r="N1413" s="75">
        <v>1.8222269E7</v>
      </c>
      <c r="O1413" s="75">
        <v>1.6110389E7</v>
      </c>
      <c r="P1413" s="80" t="s">
        <v>283</v>
      </c>
    </row>
    <row r="1414">
      <c r="J1414" s="35" t="s">
        <v>1773</v>
      </c>
      <c r="K1414" s="87" t="str">
        <f>C62</f>
        <v>S1d</v>
      </c>
      <c r="N1414" s="75">
        <v>1.8573257E7</v>
      </c>
      <c r="O1414" s="75">
        <v>1.6461377E7</v>
      </c>
      <c r="P1414" s="80" t="s">
        <v>224</v>
      </c>
    </row>
    <row r="1415">
      <c r="J1415" s="35" t="s">
        <v>1774</v>
      </c>
      <c r="K1415" s="87" t="str">
        <f>C62</f>
        <v>S1d</v>
      </c>
      <c r="N1415" s="75">
        <v>1.8742176E7</v>
      </c>
      <c r="O1415" s="75">
        <v>1.6630296E7</v>
      </c>
      <c r="P1415" s="80" t="s">
        <v>232</v>
      </c>
    </row>
    <row r="1416">
      <c r="J1416" s="35" t="s">
        <v>1775</v>
      </c>
      <c r="K1416" s="87" t="str">
        <f>C62</f>
        <v>S1d</v>
      </c>
      <c r="N1416" s="75">
        <v>1.8799745E7</v>
      </c>
      <c r="O1416" s="75">
        <v>1.6687865E7</v>
      </c>
      <c r="P1416" s="80" t="s">
        <v>219</v>
      </c>
    </row>
    <row r="1417">
      <c r="J1417" s="35" t="s">
        <v>1776</v>
      </c>
      <c r="K1417" s="87" t="str">
        <f>C62</f>
        <v>S1d</v>
      </c>
      <c r="N1417" s="75">
        <v>1.8906953E7</v>
      </c>
      <c r="O1417" s="75">
        <v>1.6795073E7</v>
      </c>
      <c r="P1417" s="80" t="s">
        <v>255</v>
      </c>
    </row>
    <row r="1418">
      <c r="J1418" s="35" t="s">
        <v>1777</v>
      </c>
      <c r="K1418" s="87" t="str">
        <f>C62</f>
        <v>S1d</v>
      </c>
      <c r="M1418" s="77"/>
      <c r="N1418" s="75">
        <v>1.8943303E7</v>
      </c>
      <c r="O1418" s="92">
        <v>1.6831423E7</v>
      </c>
      <c r="P1418" s="93" t="s">
        <v>232</v>
      </c>
    </row>
    <row r="1419">
      <c r="J1419" s="35" t="s">
        <v>1778</v>
      </c>
      <c r="K1419" s="87" t="str">
        <f>C62</f>
        <v>S1d</v>
      </c>
      <c r="M1419" s="77"/>
      <c r="N1419" s="35">
        <v>1.8943674E7</v>
      </c>
      <c r="O1419" s="94">
        <v>1.6831794E7</v>
      </c>
      <c r="P1419" s="93" t="s">
        <v>242</v>
      </c>
    </row>
    <row r="1420">
      <c r="J1420" s="35" t="s">
        <v>1779</v>
      </c>
      <c r="K1420" s="87" t="str">
        <f>C62</f>
        <v>S1d</v>
      </c>
      <c r="N1420" s="92">
        <v>1.8969794E7</v>
      </c>
      <c r="O1420" s="95">
        <v>1.6857914E7</v>
      </c>
      <c r="P1420" s="93" t="s">
        <v>232</v>
      </c>
    </row>
    <row r="1421">
      <c r="J1421" s="35" t="s">
        <v>1780</v>
      </c>
      <c r="K1421" s="87" t="str">
        <f>C62</f>
        <v>S1d</v>
      </c>
      <c r="N1421" s="92">
        <v>1.9107611E7</v>
      </c>
      <c r="O1421" s="95">
        <v>1.6995731E7</v>
      </c>
      <c r="P1421" s="93" t="s">
        <v>219</v>
      </c>
    </row>
    <row r="1422">
      <c r="J1422" s="35" t="s">
        <v>1781</v>
      </c>
      <c r="K1422" s="87" t="str">
        <f>C62</f>
        <v>S1d</v>
      </c>
      <c r="N1422" s="75">
        <v>1.9223854E7</v>
      </c>
      <c r="O1422" s="75">
        <v>1.7111974E7</v>
      </c>
      <c r="P1422" s="80" t="s">
        <v>224</v>
      </c>
    </row>
    <row r="1423">
      <c r="J1423" s="35" t="s">
        <v>1782</v>
      </c>
      <c r="K1423" s="87" t="str">
        <f>C62</f>
        <v>S1d</v>
      </c>
      <c r="N1423" s="75">
        <v>1.9239523E7</v>
      </c>
      <c r="O1423" s="75">
        <v>1.7127643E7</v>
      </c>
      <c r="P1423" s="80" t="s">
        <v>242</v>
      </c>
    </row>
    <row r="1424">
      <c r="J1424" s="35" t="s">
        <v>1783</v>
      </c>
      <c r="K1424" s="87" t="str">
        <f>C62</f>
        <v>S1d</v>
      </c>
      <c r="N1424" s="75">
        <v>1.9251827E7</v>
      </c>
      <c r="O1424" s="75">
        <v>1.7139947E7</v>
      </c>
      <c r="P1424" s="80" t="s">
        <v>232</v>
      </c>
    </row>
    <row r="1425">
      <c r="J1425" s="35" t="s">
        <v>1784</v>
      </c>
      <c r="K1425" s="87" t="str">
        <f>C62</f>
        <v>S1d</v>
      </c>
      <c r="N1425" s="75">
        <v>1.9332563E7</v>
      </c>
      <c r="O1425" s="75">
        <v>1.7220683E7</v>
      </c>
      <c r="P1425" s="80" t="s">
        <v>232</v>
      </c>
    </row>
    <row r="1426">
      <c r="J1426" s="35" t="s">
        <v>1785</v>
      </c>
      <c r="K1426" s="87" t="str">
        <f>C62</f>
        <v>S1d</v>
      </c>
      <c r="N1426" s="75">
        <v>1.9392952E7</v>
      </c>
      <c r="O1426" s="75">
        <v>1.7281072E7</v>
      </c>
      <c r="P1426" s="80" t="s">
        <v>242</v>
      </c>
    </row>
    <row r="1427">
      <c r="J1427" s="35" t="s">
        <v>1786</v>
      </c>
      <c r="K1427" s="87" t="str">
        <f>C62</f>
        <v>S1d</v>
      </c>
      <c r="N1427" s="75">
        <v>1.9428223E7</v>
      </c>
      <c r="O1427" s="75">
        <v>1.7316343E7</v>
      </c>
      <c r="P1427" s="80" t="s">
        <v>229</v>
      </c>
    </row>
    <row r="1428">
      <c r="J1428" s="35" t="s">
        <v>1787</v>
      </c>
      <c r="K1428" s="87" t="str">
        <f>C62</f>
        <v>S1d</v>
      </c>
      <c r="N1428" s="75">
        <v>1.9431002E7</v>
      </c>
      <c r="O1428" s="75">
        <v>1.7319122E7</v>
      </c>
      <c r="P1428" s="80" t="s">
        <v>221</v>
      </c>
    </row>
    <row r="1429">
      <c r="J1429" s="35" t="s">
        <v>1788</v>
      </c>
      <c r="K1429" s="87" t="str">
        <f>C62</f>
        <v>S1d</v>
      </c>
      <c r="N1429" s="75">
        <v>1.9476551E7</v>
      </c>
      <c r="O1429" s="75">
        <v>1.7364671E7</v>
      </c>
      <c r="P1429" s="80" t="s">
        <v>255</v>
      </c>
    </row>
    <row r="1430">
      <c r="J1430" s="35" t="s">
        <v>1789</v>
      </c>
      <c r="K1430" s="87" t="str">
        <f>C62</f>
        <v>S1d</v>
      </c>
      <c r="N1430" s="75">
        <v>2.108941E7</v>
      </c>
      <c r="O1430" s="75">
        <v>1.8927524E7</v>
      </c>
      <c r="P1430" s="80" t="s">
        <v>221</v>
      </c>
    </row>
    <row r="1431">
      <c r="J1431" s="35" t="s">
        <v>1790</v>
      </c>
      <c r="K1431" s="87" t="str">
        <f>C62</f>
        <v>S1d</v>
      </c>
      <c r="N1431" s="74">
        <v>2.109391E7</v>
      </c>
      <c r="O1431" s="75">
        <v>1.8932024E7</v>
      </c>
      <c r="P1431" s="80" t="s">
        <v>221</v>
      </c>
    </row>
    <row r="1432">
      <c r="J1432" s="35" t="s">
        <v>1791</v>
      </c>
      <c r="K1432" s="87" t="str">
        <f>C62</f>
        <v>S1d</v>
      </c>
      <c r="N1432" s="75">
        <v>2.1136711E7</v>
      </c>
      <c r="O1432" s="75">
        <v>1.8974825E7</v>
      </c>
      <c r="P1432" s="80" t="s">
        <v>221</v>
      </c>
    </row>
    <row r="1433">
      <c r="J1433" s="35" t="s">
        <v>1792</v>
      </c>
      <c r="K1433" s="87" t="str">
        <f>C62</f>
        <v>S1d</v>
      </c>
      <c r="N1433" s="75">
        <v>2.1276857E7</v>
      </c>
      <c r="O1433" s="75">
        <v>1.9114971E7</v>
      </c>
      <c r="P1433" s="80" t="s">
        <v>242</v>
      </c>
    </row>
    <row r="1434">
      <c r="J1434" s="35" t="s">
        <v>1793</v>
      </c>
      <c r="K1434" s="87" t="str">
        <f>C62</f>
        <v>S1d</v>
      </c>
      <c r="N1434" s="75">
        <v>2.1302165E7</v>
      </c>
      <c r="O1434" s="75">
        <v>1.9140279E7</v>
      </c>
      <c r="P1434" s="80" t="s">
        <v>232</v>
      </c>
    </row>
    <row r="1435">
      <c r="J1435" s="35" t="s">
        <v>1794</v>
      </c>
      <c r="K1435" s="87" t="str">
        <f>C62</f>
        <v>S1d</v>
      </c>
      <c r="N1435" s="75">
        <v>2.1324039E7</v>
      </c>
      <c r="O1435" s="75">
        <v>1.9162153E7</v>
      </c>
      <c r="P1435" s="80" t="s">
        <v>224</v>
      </c>
    </row>
    <row r="1436">
      <c r="J1436" s="35" t="s">
        <v>1795</v>
      </c>
      <c r="K1436" s="87" t="str">
        <f>C62</f>
        <v>S1d</v>
      </c>
      <c r="N1436" s="75">
        <v>2.1325327E7</v>
      </c>
      <c r="O1436" s="75">
        <v>1.9163441E7</v>
      </c>
      <c r="P1436" s="80" t="s">
        <v>216</v>
      </c>
    </row>
    <row r="1437">
      <c r="J1437" s="35" t="s">
        <v>1796</v>
      </c>
      <c r="K1437" s="87" t="str">
        <f>C62</f>
        <v>S1d</v>
      </c>
      <c r="N1437" s="75">
        <v>2.1350843E7</v>
      </c>
      <c r="O1437" s="75">
        <v>1.9188957E7</v>
      </c>
      <c r="P1437" s="80" t="s">
        <v>232</v>
      </c>
    </row>
    <row r="1438">
      <c r="J1438" s="35" t="s">
        <v>1797</v>
      </c>
      <c r="K1438" s="87" t="str">
        <f>C62</f>
        <v>S1d</v>
      </c>
      <c r="N1438" s="75">
        <v>2.1364901E7</v>
      </c>
      <c r="O1438" s="75">
        <v>1.9203015E7</v>
      </c>
      <c r="P1438" s="80" t="s">
        <v>255</v>
      </c>
    </row>
    <row r="1439">
      <c r="J1439" s="35" t="s">
        <v>1798</v>
      </c>
      <c r="K1439" s="87" t="str">
        <f>C62</f>
        <v>S1d</v>
      </c>
      <c r="N1439" s="75">
        <v>2.1401204E7</v>
      </c>
      <c r="O1439" s="75">
        <v>1.9239318E7</v>
      </c>
      <c r="P1439" s="80" t="s">
        <v>216</v>
      </c>
    </row>
    <row r="1440">
      <c r="J1440" s="35" t="s">
        <v>1799</v>
      </c>
      <c r="K1440" s="87" t="str">
        <f>C62</f>
        <v>S1d</v>
      </c>
      <c r="N1440" s="75">
        <v>2.1511965E7</v>
      </c>
      <c r="O1440" s="75">
        <v>1.9350079E7</v>
      </c>
      <c r="P1440" s="80" t="s">
        <v>219</v>
      </c>
    </row>
    <row r="1441">
      <c r="J1441" s="35" t="s">
        <v>1800</v>
      </c>
      <c r="K1441" s="87" t="str">
        <f>C62</f>
        <v>S1d</v>
      </c>
      <c r="M1441" s="77" t="s">
        <v>1801</v>
      </c>
      <c r="N1441" s="74">
        <v>2.1533505E7</v>
      </c>
      <c r="O1441" s="75">
        <v>1.9371619E7</v>
      </c>
      <c r="P1441" s="80" t="s">
        <v>232</v>
      </c>
    </row>
    <row r="1442">
      <c r="J1442" s="35" t="s">
        <v>1802</v>
      </c>
      <c r="K1442" s="87" t="str">
        <f>C62</f>
        <v>S1d</v>
      </c>
      <c r="N1442" s="75">
        <v>2.1535028E7</v>
      </c>
      <c r="O1442" s="75">
        <v>1.9373142E7</v>
      </c>
      <c r="P1442" s="80" t="s">
        <v>229</v>
      </c>
    </row>
    <row r="1443">
      <c r="J1443" s="35" t="s">
        <v>1803</v>
      </c>
      <c r="K1443" s="87" t="str">
        <f>C62</f>
        <v>S1d</v>
      </c>
      <c r="N1443" s="75">
        <v>2.1555116E7</v>
      </c>
      <c r="O1443" s="75">
        <v>1.939323E7</v>
      </c>
      <c r="P1443" s="80" t="s">
        <v>224</v>
      </c>
    </row>
    <row r="1444">
      <c r="J1444" s="35" t="s">
        <v>1804</v>
      </c>
      <c r="K1444" s="87" t="str">
        <f>C62</f>
        <v>S1d</v>
      </c>
      <c r="N1444" s="75">
        <v>2.1587832E7</v>
      </c>
      <c r="O1444" s="75">
        <v>1.9425946E7</v>
      </c>
      <c r="P1444" s="80" t="s">
        <v>221</v>
      </c>
    </row>
    <row r="1445">
      <c r="J1445" s="35" t="s">
        <v>1805</v>
      </c>
      <c r="K1445" s="87" t="str">
        <f>C62</f>
        <v>S1d</v>
      </c>
      <c r="N1445" s="75">
        <v>2.1609524E7</v>
      </c>
      <c r="O1445" s="75">
        <v>1.9447638E7</v>
      </c>
      <c r="P1445" s="80" t="s">
        <v>255</v>
      </c>
    </row>
    <row r="1446">
      <c r="J1446" s="35" t="s">
        <v>1806</v>
      </c>
      <c r="K1446" s="87" t="str">
        <f>C62</f>
        <v>S1d</v>
      </c>
      <c r="N1446" s="75">
        <v>2.1708371E7</v>
      </c>
      <c r="O1446" s="75">
        <v>1.9546485E7</v>
      </c>
      <c r="P1446" s="80" t="s">
        <v>232</v>
      </c>
    </row>
    <row r="1447">
      <c r="J1447" s="35" t="s">
        <v>1807</v>
      </c>
      <c r="K1447" s="87" t="str">
        <f>C62</f>
        <v>S1d</v>
      </c>
      <c r="N1447" s="75">
        <v>2.1742593E7</v>
      </c>
      <c r="O1447" s="75">
        <v>1.9580707E7</v>
      </c>
      <c r="P1447" s="80" t="s">
        <v>221</v>
      </c>
    </row>
    <row r="1448">
      <c r="J1448" s="35" t="s">
        <v>1808</v>
      </c>
      <c r="K1448" s="87" t="str">
        <f>C62</f>
        <v>S1d</v>
      </c>
      <c r="N1448" s="75">
        <v>2.1747422E7</v>
      </c>
      <c r="O1448" s="75">
        <v>1.9585536E7</v>
      </c>
      <c r="P1448" s="80" t="s">
        <v>242</v>
      </c>
    </row>
    <row r="1449">
      <c r="J1449" s="35" t="s">
        <v>1809</v>
      </c>
      <c r="K1449" s="87" t="str">
        <f>C62</f>
        <v>S1d</v>
      </c>
      <c r="N1449" s="75">
        <v>2.1753029E7</v>
      </c>
      <c r="O1449" s="75">
        <v>1.9591143E7</v>
      </c>
      <c r="P1449" s="80" t="s">
        <v>229</v>
      </c>
    </row>
    <row r="1450">
      <c r="J1450" s="35" t="s">
        <v>1810</v>
      </c>
      <c r="K1450" s="87" t="str">
        <f>C62</f>
        <v>S1d</v>
      </c>
      <c r="N1450" s="75">
        <v>2.177297E7</v>
      </c>
      <c r="O1450" s="75">
        <v>1.9611084E7</v>
      </c>
      <c r="P1450" s="80" t="s">
        <v>232</v>
      </c>
    </row>
    <row r="1451">
      <c r="J1451" s="35" t="s">
        <v>1811</v>
      </c>
      <c r="K1451" s="87" t="str">
        <f>C62</f>
        <v>S1d</v>
      </c>
      <c r="N1451" s="74">
        <v>2.1783161E7</v>
      </c>
      <c r="O1451" s="75">
        <v>1.9621275E7</v>
      </c>
      <c r="P1451" s="80" t="s">
        <v>221</v>
      </c>
    </row>
    <row r="1452">
      <c r="J1452" s="35" t="s">
        <v>1812</v>
      </c>
      <c r="K1452" s="87" t="str">
        <f>C62</f>
        <v>S1d</v>
      </c>
      <c r="N1452" s="75">
        <v>2.1807506E7</v>
      </c>
      <c r="O1452" s="75">
        <v>1.964562E7</v>
      </c>
      <c r="P1452" s="80" t="s">
        <v>232</v>
      </c>
    </row>
    <row r="1453">
      <c r="J1453" s="35" t="s">
        <v>1813</v>
      </c>
      <c r="K1453" s="87" t="str">
        <f>C62</f>
        <v>S1d</v>
      </c>
      <c r="N1453" s="75">
        <v>2.1808414E7</v>
      </c>
      <c r="O1453" s="75">
        <v>1.9646528E7</v>
      </c>
      <c r="P1453" s="80" t="s">
        <v>216</v>
      </c>
    </row>
    <row r="1454">
      <c r="J1454" s="35" t="s">
        <v>1814</v>
      </c>
      <c r="K1454" s="87" t="str">
        <f>C62</f>
        <v>S1d</v>
      </c>
      <c r="N1454" s="75">
        <v>2.181892E7</v>
      </c>
      <c r="O1454" s="75">
        <v>1.9657034E7</v>
      </c>
      <c r="P1454" s="80" t="s">
        <v>255</v>
      </c>
    </row>
    <row r="1455">
      <c r="J1455" s="35" t="s">
        <v>1815</v>
      </c>
      <c r="K1455" s="87" t="str">
        <f>C62</f>
        <v>S1d</v>
      </c>
      <c r="N1455" s="75">
        <v>2.186399E7</v>
      </c>
      <c r="O1455" s="75">
        <v>1.9702104E7</v>
      </c>
      <c r="P1455" s="80" t="s">
        <v>232</v>
      </c>
    </row>
    <row r="1456">
      <c r="J1456" s="35" t="s">
        <v>1816</v>
      </c>
      <c r="K1456" s="87" t="str">
        <f>C62</f>
        <v>S1d</v>
      </c>
      <c r="N1456" s="75">
        <v>2.1865187E7</v>
      </c>
      <c r="O1456" s="75">
        <v>1.9703301E7</v>
      </c>
      <c r="P1456" s="80" t="s">
        <v>232</v>
      </c>
    </row>
    <row r="1457">
      <c r="J1457" s="35" t="s">
        <v>1817</v>
      </c>
      <c r="K1457" s="87" t="str">
        <f>C62</f>
        <v>S1d</v>
      </c>
      <c r="N1457" s="75">
        <v>2.1988512E7</v>
      </c>
      <c r="O1457" s="75">
        <v>1.9826626E7</v>
      </c>
      <c r="P1457" s="80" t="s">
        <v>219</v>
      </c>
    </row>
    <row r="1458">
      <c r="J1458" s="35" t="s">
        <v>1818</v>
      </c>
      <c r="K1458" s="87" t="str">
        <f>C62</f>
        <v>S1d</v>
      </c>
      <c r="N1458" s="75">
        <v>2.2120018E7</v>
      </c>
      <c r="O1458" s="75">
        <v>1.9958132E7</v>
      </c>
      <c r="P1458" s="80" t="s">
        <v>232</v>
      </c>
    </row>
    <row r="1459">
      <c r="J1459" s="35" t="s">
        <v>1819</v>
      </c>
      <c r="K1459" s="87" t="str">
        <f>C62</f>
        <v>S1d</v>
      </c>
      <c r="N1459" s="75">
        <v>2.2151584E7</v>
      </c>
      <c r="O1459" s="75">
        <v>1.9989698E7</v>
      </c>
      <c r="P1459" s="80" t="s">
        <v>221</v>
      </c>
    </row>
    <row r="1460">
      <c r="J1460" s="35" t="s">
        <v>1820</v>
      </c>
      <c r="K1460" s="87" t="str">
        <f>C62</f>
        <v>S1d</v>
      </c>
      <c r="N1460" s="75">
        <v>2.2164299E7</v>
      </c>
      <c r="O1460" s="75">
        <v>2.0002413E7</v>
      </c>
      <c r="P1460" s="80" t="s">
        <v>219</v>
      </c>
    </row>
    <row r="1461">
      <c r="J1461" s="35" t="s">
        <v>1821</v>
      </c>
      <c r="K1461" s="87" t="str">
        <f>C62</f>
        <v>S1d</v>
      </c>
      <c r="M1461" s="73" t="s">
        <v>1822</v>
      </c>
      <c r="N1461" s="74">
        <v>2.2717554E7</v>
      </c>
      <c r="O1461" s="75">
        <v>2.0555668E7</v>
      </c>
      <c r="P1461" s="80" t="s">
        <v>221</v>
      </c>
    </row>
    <row r="1462">
      <c r="J1462" s="35" t="s">
        <v>1823</v>
      </c>
      <c r="K1462" s="87" t="str">
        <f>C62</f>
        <v>S1d</v>
      </c>
      <c r="M1462" s="73" t="s">
        <v>1824</v>
      </c>
      <c r="N1462" s="75">
        <v>2.2762148E7</v>
      </c>
      <c r="O1462" s="75">
        <v>2.0600262E7</v>
      </c>
      <c r="P1462" s="80" t="s">
        <v>232</v>
      </c>
    </row>
    <row r="1463">
      <c r="J1463" s="35" t="s">
        <v>1825</v>
      </c>
      <c r="K1463" s="87" t="str">
        <f>C62</f>
        <v>S1d</v>
      </c>
      <c r="N1463" s="75">
        <v>2.2795195E7</v>
      </c>
      <c r="O1463" s="75">
        <v>2.0633309E7</v>
      </c>
      <c r="P1463" s="80" t="s">
        <v>232</v>
      </c>
    </row>
    <row r="1464">
      <c r="J1464" s="35" t="s">
        <v>1826</v>
      </c>
      <c r="K1464" s="87" t="str">
        <f>C62</f>
        <v>S1d</v>
      </c>
      <c r="N1464" s="75">
        <v>2.2802011E7</v>
      </c>
      <c r="O1464" s="75">
        <v>2.0640125E7</v>
      </c>
      <c r="P1464" s="80" t="s">
        <v>221</v>
      </c>
    </row>
    <row r="1465">
      <c r="J1465" s="35" t="s">
        <v>1827</v>
      </c>
      <c r="K1465" s="87" t="str">
        <f>C62</f>
        <v>S1d</v>
      </c>
      <c r="N1465" s="75">
        <v>2.2806964E7</v>
      </c>
      <c r="O1465" s="75">
        <v>2.0645078E7</v>
      </c>
      <c r="P1465" s="80" t="s">
        <v>216</v>
      </c>
    </row>
    <row r="1466">
      <c r="J1466" s="35" t="s">
        <v>1828</v>
      </c>
      <c r="K1466" s="87" t="str">
        <f>C62</f>
        <v>S1d</v>
      </c>
      <c r="N1466" s="75">
        <v>2.282417E7</v>
      </c>
      <c r="O1466" s="75">
        <v>2.0662284E7</v>
      </c>
      <c r="P1466" s="80" t="s">
        <v>232</v>
      </c>
    </row>
    <row r="1467">
      <c r="J1467" s="35" t="s">
        <v>1829</v>
      </c>
      <c r="K1467" s="87" t="str">
        <f>C62</f>
        <v>S1d</v>
      </c>
      <c r="N1467" s="75">
        <v>2.2967625E7</v>
      </c>
      <c r="O1467" s="75">
        <v>2.0805739E7</v>
      </c>
      <c r="P1467" s="80" t="s">
        <v>221</v>
      </c>
    </row>
    <row r="1468">
      <c r="J1468" s="35" t="s">
        <v>1830</v>
      </c>
      <c r="K1468" s="87" t="str">
        <f>C62</f>
        <v>S1d</v>
      </c>
      <c r="N1468" s="75">
        <v>2.3007903E7</v>
      </c>
      <c r="O1468" s="75">
        <v>2.0846017E7</v>
      </c>
      <c r="P1468" s="80" t="s">
        <v>242</v>
      </c>
    </row>
    <row r="1469">
      <c r="J1469" s="35" t="s">
        <v>1831</v>
      </c>
      <c r="K1469" s="87" t="str">
        <f>C62</f>
        <v>S1d</v>
      </c>
      <c r="N1469" s="75">
        <v>2.3039899E7</v>
      </c>
      <c r="O1469" s="75">
        <v>2.0878013E7</v>
      </c>
      <c r="P1469" s="80" t="s">
        <v>232</v>
      </c>
    </row>
    <row r="1470">
      <c r="J1470" s="35" t="s">
        <v>1832</v>
      </c>
      <c r="K1470" s="87" t="str">
        <f>C62</f>
        <v>S1d</v>
      </c>
      <c r="N1470" s="75">
        <v>2.3098952E7</v>
      </c>
      <c r="O1470" s="75">
        <v>2.0937066E7</v>
      </c>
      <c r="P1470" s="80" t="s">
        <v>255</v>
      </c>
    </row>
    <row r="1471">
      <c r="J1471" s="35" t="s">
        <v>1833</v>
      </c>
      <c r="K1471" s="87" t="str">
        <f>C62</f>
        <v>S1d</v>
      </c>
      <c r="N1471" s="75">
        <v>2.3130856E7</v>
      </c>
      <c r="O1471" s="75">
        <v>2.096897E7</v>
      </c>
      <c r="P1471" s="80" t="s">
        <v>242</v>
      </c>
    </row>
    <row r="1472">
      <c r="J1472" s="35" t="s">
        <v>1834</v>
      </c>
      <c r="K1472" s="87" t="str">
        <f>C62</f>
        <v>S1d</v>
      </c>
      <c r="N1472" s="75">
        <v>2.3280117E7</v>
      </c>
      <c r="O1472" s="75">
        <v>2.1118231E7</v>
      </c>
      <c r="P1472" s="80" t="s">
        <v>283</v>
      </c>
    </row>
    <row r="1473">
      <c r="J1473" s="35" t="s">
        <v>1835</v>
      </c>
      <c r="K1473" s="87" t="str">
        <f>C62</f>
        <v>S1d</v>
      </c>
      <c r="N1473" s="75">
        <v>2.3282211E7</v>
      </c>
      <c r="O1473" s="75">
        <v>2.1120325E7</v>
      </c>
      <c r="P1473" s="80" t="s">
        <v>221</v>
      </c>
    </row>
    <row r="1474">
      <c r="J1474" s="35" t="s">
        <v>1836</v>
      </c>
      <c r="K1474" s="87" t="str">
        <f>C62</f>
        <v>S1d</v>
      </c>
      <c r="N1474" s="75">
        <v>2.330274E7</v>
      </c>
      <c r="O1474" s="75">
        <v>2.1140854E7</v>
      </c>
      <c r="P1474" s="80" t="s">
        <v>232</v>
      </c>
    </row>
    <row r="1475">
      <c r="J1475" s="35" t="s">
        <v>1837</v>
      </c>
      <c r="K1475" s="87" t="str">
        <f>C62</f>
        <v>S1d</v>
      </c>
      <c r="N1475" s="75">
        <v>2.337952E7</v>
      </c>
      <c r="O1475" s="75">
        <v>2.1217634E7</v>
      </c>
      <c r="P1475" s="80" t="s">
        <v>232</v>
      </c>
    </row>
    <row r="1476">
      <c r="J1476" s="35" t="s">
        <v>1838</v>
      </c>
      <c r="K1476" s="87" t="str">
        <f>C62</f>
        <v>S1d</v>
      </c>
      <c r="N1476" s="75">
        <v>2.3422805E7</v>
      </c>
      <c r="O1476" s="75">
        <v>2.1260919E7</v>
      </c>
      <c r="P1476" s="80" t="s">
        <v>232</v>
      </c>
    </row>
    <row r="1477">
      <c r="J1477" s="35" t="s">
        <v>1839</v>
      </c>
      <c r="K1477" s="87" t="str">
        <f>C62</f>
        <v>S1d</v>
      </c>
      <c r="N1477" s="75">
        <v>2.3547534E7</v>
      </c>
      <c r="O1477" s="75">
        <v>2.1385648E7</v>
      </c>
      <c r="P1477" s="80" t="s">
        <v>216</v>
      </c>
    </row>
    <row r="1478">
      <c r="J1478" s="35" t="s">
        <v>1840</v>
      </c>
      <c r="K1478" s="87" t="str">
        <f>C62</f>
        <v>S1d</v>
      </c>
      <c r="N1478" s="75">
        <v>2.357269E7</v>
      </c>
      <c r="O1478" s="75">
        <v>2.1410804E7</v>
      </c>
      <c r="P1478" s="80" t="s">
        <v>221</v>
      </c>
    </row>
    <row r="1479">
      <c r="J1479" s="35" t="s">
        <v>1841</v>
      </c>
      <c r="K1479" s="87" t="str">
        <f>C62</f>
        <v>S1d</v>
      </c>
      <c r="N1479" s="75">
        <v>2.3603914E7</v>
      </c>
      <c r="O1479" s="75">
        <v>2.1442028E7</v>
      </c>
      <c r="P1479" s="80" t="s">
        <v>224</v>
      </c>
    </row>
    <row r="1480">
      <c r="J1480" s="35" t="s">
        <v>1842</v>
      </c>
      <c r="K1480" s="87" t="str">
        <f t="shared" ref="K1480:K1481" si="13">C62</f>
        <v>S1d</v>
      </c>
      <c r="N1480" s="75">
        <v>2.3781936E7</v>
      </c>
      <c r="O1480" s="75">
        <v>2.162005E7</v>
      </c>
      <c r="P1480" s="80" t="s">
        <v>224</v>
      </c>
    </row>
    <row r="1481">
      <c r="J1481" s="35" t="s">
        <v>97</v>
      </c>
      <c r="K1481" t="str">
        <f t="shared" si="13"/>
        <v>S1d~</v>
      </c>
      <c r="N1481" s="96">
        <v>3713464.0</v>
      </c>
      <c r="O1481" s="92">
        <v>3845423.0</v>
      </c>
      <c r="P1481" s="80" t="s">
        <v>216</v>
      </c>
    </row>
    <row r="1482">
      <c r="J1482" s="79" t="s">
        <v>1843</v>
      </c>
      <c r="K1482" t="str">
        <f>D64</f>
        <v>S1d1</v>
      </c>
      <c r="N1482" s="79">
        <v>1.7718622E7</v>
      </c>
      <c r="O1482" s="79">
        <v>1.5606742E7</v>
      </c>
      <c r="P1482" s="79" t="s">
        <v>216</v>
      </c>
    </row>
    <row r="1483">
      <c r="J1483" s="79" t="s">
        <v>1844</v>
      </c>
      <c r="K1483" t="str">
        <f>D64</f>
        <v>S1d1</v>
      </c>
      <c r="N1483" s="79">
        <v>7638100.0</v>
      </c>
      <c r="O1483" s="79">
        <v>7770059.0</v>
      </c>
      <c r="P1483" s="79" t="s">
        <v>232</v>
      </c>
    </row>
    <row r="1484">
      <c r="J1484" s="79" t="s">
        <v>1845</v>
      </c>
      <c r="K1484" t="str">
        <f>D64</f>
        <v>S1d1</v>
      </c>
      <c r="M1484" s="79" t="s">
        <v>1846</v>
      </c>
      <c r="N1484" s="79">
        <v>1.8403734E7</v>
      </c>
      <c r="O1484" s="79">
        <v>1.6291854E7</v>
      </c>
      <c r="P1484" s="79" t="s">
        <v>221</v>
      </c>
    </row>
    <row r="1485">
      <c r="J1485" s="79" t="s">
        <v>1847</v>
      </c>
      <c r="K1485" t="str">
        <f>D64</f>
        <v>S1d1</v>
      </c>
      <c r="N1485" s="79">
        <v>4380687.0</v>
      </c>
      <c r="O1485" s="79">
        <v>4512646.0</v>
      </c>
      <c r="P1485" s="79" t="s">
        <v>219</v>
      </c>
    </row>
    <row r="1486">
      <c r="J1486" s="79" t="s">
        <v>1848</v>
      </c>
      <c r="K1486" t="str">
        <f>D64</f>
        <v>S1d1</v>
      </c>
      <c r="N1486" s="79">
        <v>1.8646031E7</v>
      </c>
      <c r="O1486" s="79">
        <v>1.6534151E7</v>
      </c>
      <c r="P1486" s="79" t="s">
        <v>232</v>
      </c>
    </row>
    <row r="1487">
      <c r="J1487" s="79" t="s">
        <v>1849</v>
      </c>
      <c r="K1487" t="str">
        <f>D64</f>
        <v>S1d1</v>
      </c>
      <c r="N1487" s="79">
        <v>5945691.0</v>
      </c>
      <c r="O1487" s="79">
        <v>6077650.0</v>
      </c>
      <c r="P1487" s="79" t="s">
        <v>232</v>
      </c>
    </row>
    <row r="1488">
      <c r="J1488" s="79" t="s">
        <v>1850</v>
      </c>
      <c r="K1488" t="str">
        <f>D64</f>
        <v>S1d1</v>
      </c>
      <c r="N1488" s="79">
        <v>1.3212538E7</v>
      </c>
      <c r="O1488" s="79">
        <v>1.1056862E7</v>
      </c>
      <c r="P1488" s="79" t="s">
        <v>232</v>
      </c>
    </row>
    <row r="1489">
      <c r="J1489" s="79" t="s">
        <v>1851</v>
      </c>
      <c r="K1489" t="str">
        <f>B65</f>
        <v>S2</v>
      </c>
      <c r="N1489">
        <v>4093081.0</v>
      </c>
      <c r="O1489">
        <v>4225040.0</v>
      </c>
      <c r="P1489" t="s">
        <v>221</v>
      </c>
    </row>
    <row r="1490">
      <c r="J1490" s="79" t="s">
        <v>1852</v>
      </c>
      <c r="K1490" t="str">
        <f>B65</f>
        <v>S2</v>
      </c>
      <c r="L1490" s="79" t="s">
        <v>1853</v>
      </c>
      <c r="N1490">
        <v>1.8259879E7</v>
      </c>
      <c r="O1490">
        <v>1.6147999E7</v>
      </c>
      <c r="P1490" t="s">
        <v>232</v>
      </c>
    </row>
    <row r="1491">
      <c r="J1491" s="79" t="s">
        <v>1853</v>
      </c>
      <c r="K1491" t="str">
        <f>B65</f>
        <v>S2</v>
      </c>
      <c r="L1491" s="79" t="s">
        <v>1852</v>
      </c>
      <c r="N1491">
        <v>1.8259879E7</v>
      </c>
      <c r="O1491">
        <v>1.6147999E7</v>
      </c>
      <c r="P1491" t="s">
        <v>232</v>
      </c>
    </row>
    <row r="1492">
      <c r="J1492" s="79" t="s">
        <v>1854</v>
      </c>
      <c r="K1492" t="str">
        <f>B65</f>
        <v>S2</v>
      </c>
      <c r="L1492" s="79" t="s">
        <v>1855</v>
      </c>
      <c r="N1492">
        <v>2662361.0</v>
      </c>
      <c r="O1492">
        <v>2794320.0</v>
      </c>
      <c r="P1492" t="s">
        <v>221</v>
      </c>
    </row>
    <row r="1493">
      <c r="J1493" s="79" t="s">
        <v>1856</v>
      </c>
      <c r="K1493" t="str">
        <f>B65</f>
        <v>S2</v>
      </c>
      <c r="L1493" s="79" t="s">
        <v>1857</v>
      </c>
      <c r="N1493">
        <v>2662361.0</v>
      </c>
      <c r="O1493">
        <v>2794320.0</v>
      </c>
      <c r="P1493" t="s">
        <v>221</v>
      </c>
    </row>
    <row r="1494">
      <c r="J1494" s="79" t="s">
        <v>1858</v>
      </c>
      <c r="K1494" t="str">
        <f>B65</f>
        <v>S2</v>
      </c>
      <c r="L1494" s="79" t="s">
        <v>1859</v>
      </c>
      <c r="N1494">
        <v>2662361.0</v>
      </c>
      <c r="O1494">
        <v>2794320.0</v>
      </c>
      <c r="P1494" t="s">
        <v>221</v>
      </c>
    </row>
    <row r="1495">
      <c r="J1495" s="79" t="s">
        <v>1860</v>
      </c>
      <c r="K1495" t="str">
        <f>B65</f>
        <v>S2</v>
      </c>
      <c r="M1495" s="79" t="s">
        <v>1861</v>
      </c>
      <c r="N1495">
        <v>2683373.0</v>
      </c>
      <c r="O1495">
        <v>2815332.0</v>
      </c>
      <c r="P1495" t="s">
        <v>302</v>
      </c>
    </row>
    <row r="1496">
      <c r="J1496" s="79" t="s">
        <v>1862</v>
      </c>
      <c r="K1496" t="str">
        <f>B65</f>
        <v>S2</v>
      </c>
      <c r="N1496">
        <v>2722456.0</v>
      </c>
      <c r="O1496">
        <v>2854415.0</v>
      </c>
      <c r="P1496" t="s">
        <v>255</v>
      </c>
    </row>
    <row r="1497">
      <c r="J1497" s="79" t="s">
        <v>1863</v>
      </c>
      <c r="K1497" t="str">
        <f>B65</f>
        <v>S2</v>
      </c>
      <c r="N1497">
        <v>2732399.0</v>
      </c>
      <c r="O1497">
        <v>2864358.0</v>
      </c>
      <c r="P1497" t="s">
        <v>235</v>
      </c>
    </row>
    <row r="1498">
      <c r="J1498" s="79" t="s">
        <v>1864</v>
      </c>
      <c r="K1498" t="str">
        <f>B65</f>
        <v>S2</v>
      </c>
      <c r="N1498">
        <v>2758346.0</v>
      </c>
      <c r="O1498">
        <v>2890305.0</v>
      </c>
      <c r="P1498" t="s">
        <v>232</v>
      </c>
    </row>
    <row r="1499">
      <c r="J1499" s="79" t="s">
        <v>1865</v>
      </c>
      <c r="K1499" t="str">
        <f>B65</f>
        <v>S2</v>
      </c>
      <c r="N1499">
        <v>2769678.0</v>
      </c>
      <c r="O1499">
        <v>2901637.0</v>
      </c>
      <c r="P1499" t="s">
        <v>221</v>
      </c>
    </row>
    <row r="1500">
      <c r="J1500" s="79" t="s">
        <v>1866</v>
      </c>
      <c r="K1500" t="str">
        <f>B65</f>
        <v>S2</v>
      </c>
      <c r="N1500">
        <v>2812489.0</v>
      </c>
      <c r="O1500">
        <v>2944448.0</v>
      </c>
      <c r="P1500" t="s">
        <v>221</v>
      </c>
    </row>
    <row r="1501">
      <c r="J1501" s="79" t="s">
        <v>1867</v>
      </c>
      <c r="K1501" t="str">
        <f>B65</f>
        <v>S2</v>
      </c>
      <c r="N1501">
        <v>2849376.0</v>
      </c>
      <c r="O1501">
        <v>2981335.0</v>
      </c>
      <c r="P1501" t="s">
        <v>216</v>
      </c>
    </row>
    <row r="1502">
      <c r="J1502" s="79" t="s">
        <v>1868</v>
      </c>
      <c r="K1502" t="str">
        <f>B65</f>
        <v>S2</v>
      </c>
      <c r="N1502">
        <v>2873455.0</v>
      </c>
      <c r="O1502">
        <v>3005414.0</v>
      </c>
      <c r="P1502" t="s">
        <v>221</v>
      </c>
    </row>
    <row r="1503">
      <c r="J1503" s="79" t="s">
        <v>1869</v>
      </c>
      <c r="K1503" t="str">
        <f>B65</f>
        <v>S2</v>
      </c>
      <c r="N1503">
        <v>2889312.0</v>
      </c>
      <c r="O1503">
        <v>3021271.0</v>
      </c>
      <c r="P1503" t="s">
        <v>235</v>
      </c>
    </row>
    <row r="1504">
      <c r="J1504" s="79" t="s">
        <v>1870</v>
      </c>
      <c r="K1504" t="str">
        <f>B65</f>
        <v>S2</v>
      </c>
      <c r="N1504">
        <v>6619560.0</v>
      </c>
      <c r="O1504">
        <v>6751519.0</v>
      </c>
      <c r="P1504" t="s">
        <v>235</v>
      </c>
    </row>
    <row r="1505">
      <c r="J1505" s="79" t="s">
        <v>1871</v>
      </c>
      <c r="K1505" t="str">
        <f>B65</f>
        <v>S2</v>
      </c>
      <c r="N1505">
        <v>6623179.0</v>
      </c>
      <c r="O1505">
        <v>6755138.0</v>
      </c>
      <c r="P1505" t="s">
        <v>235</v>
      </c>
    </row>
    <row r="1506">
      <c r="J1506" s="79" t="s">
        <v>1872</v>
      </c>
      <c r="K1506" t="str">
        <f>B65</f>
        <v>S2</v>
      </c>
      <c r="N1506">
        <v>6642156.0</v>
      </c>
      <c r="O1506">
        <v>6774115.0</v>
      </c>
      <c r="P1506" t="s">
        <v>302</v>
      </c>
    </row>
    <row r="1507">
      <c r="J1507" s="79" t="s">
        <v>1873</v>
      </c>
      <c r="K1507" t="str">
        <f>B65</f>
        <v>S2</v>
      </c>
      <c r="N1507">
        <v>6658804.0</v>
      </c>
      <c r="O1507">
        <v>6790763.0</v>
      </c>
      <c r="P1507" t="s">
        <v>221</v>
      </c>
    </row>
    <row r="1508">
      <c r="J1508" s="79" t="s">
        <v>1874</v>
      </c>
      <c r="K1508" t="str">
        <f>B65</f>
        <v>S2</v>
      </c>
      <c r="N1508">
        <v>6743810.0</v>
      </c>
      <c r="O1508">
        <v>6875769.0</v>
      </c>
      <c r="P1508" t="s">
        <v>232</v>
      </c>
    </row>
    <row r="1509">
      <c r="J1509" s="79" t="s">
        <v>1875</v>
      </c>
      <c r="K1509" t="str">
        <f>B65</f>
        <v>S2</v>
      </c>
      <c r="N1509">
        <v>6755545.0</v>
      </c>
      <c r="O1509">
        <v>6887504.0</v>
      </c>
      <c r="P1509" t="s">
        <v>302</v>
      </c>
    </row>
    <row r="1510">
      <c r="J1510" s="79" t="s">
        <v>1876</v>
      </c>
      <c r="K1510" t="str">
        <f>B65</f>
        <v>S2</v>
      </c>
      <c r="N1510">
        <v>6756132.0</v>
      </c>
      <c r="O1510">
        <v>6888091.0</v>
      </c>
      <c r="P1510" t="s">
        <v>302</v>
      </c>
    </row>
    <row r="1511">
      <c r="J1511" s="79" t="s">
        <v>1877</v>
      </c>
      <c r="K1511" t="str">
        <f>B65</f>
        <v>S2</v>
      </c>
      <c r="N1511">
        <v>6768357.0</v>
      </c>
      <c r="O1511">
        <v>6900316.0</v>
      </c>
      <c r="P1511" t="s">
        <v>242</v>
      </c>
    </row>
    <row r="1512">
      <c r="J1512" s="79" t="s">
        <v>1878</v>
      </c>
      <c r="K1512" t="str">
        <f>B65</f>
        <v>S2</v>
      </c>
      <c r="N1512">
        <v>6789642.0</v>
      </c>
      <c r="O1512">
        <v>6921601.0</v>
      </c>
      <c r="P1512" t="s">
        <v>302</v>
      </c>
    </row>
    <row r="1513">
      <c r="J1513" s="79" t="s">
        <v>1879</v>
      </c>
      <c r="K1513" t="str">
        <f>B65</f>
        <v>S2</v>
      </c>
      <c r="N1513">
        <v>6808400.0</v>
      </c>
      <c r="O1513">
        <v>6940359.0</v>
      </c>
      <c r="P1513" t="s">
        <v>302</v>
      </c>
    </row>
    <row r="1514">
      <c r="J1514" s="79" t="s">
        <v>1880</v>
      </c>
      <c r="K1514" t="str">
        <f>B65</f>
        <v>S2</v>
      </c>
      <c r="N1514">
        <v>6813068.0</v>
      </c>
      <c r="O1514">
        <v>6945027.0</v>
      </c>
      <c r="P1514" t="s">
        <v>302</v>
      </c>
    </row>
    <row r="1515">
      <c r="J1515" s="79" t="s">
        <v>1881</v>
      </c>
      <c r="K1515" t="str">
        <f>B65</f>
        <v>S2</v>
      </c>
      <c r="N1515">
        <v>6826306.0</v>
      </c>
      <c r="O1515">
        <v>6958265.0</v>
      </c>
      <c r="P1515" t="s">
        <v>221</v>
      </c>
    </row>
    <row r="1516">
      <c r="J1516" s="79" t="s">
        <v>1882</v>
      </c>
      <c r="K1516" t="str">
        <f>B65</f>
        <v>S2</v>
      </c>
      <c r="N1516">
        <v>6838728.0</v>
      </c>
      <c r="O1516">
        <v>6970687.0</v>
      </c>
      <c r="P1516" t="s">
        <v>232</v>
      </c>
    </row>
    <row r="1517">
      <c r="J1517" s="79" t="s">
        <v>1883</v>
      </c>
      <c r="K1517" t="str">
        <f>B65</f>
        <v>S2</v>
      </c>
      <c r="N1517">
        <v>6839455.0</v>
      </c>
      <c r="O1517">
        <v>6971414.0</v>
      </c>
      <c r="P1517" t="s">
        <v>216</v>
      </c>
    </row>
    <row r="1518">
      <c r="J1518" s="79" t="s">
        <v>1884</v>
      </c>
      <c r="K1518" t="str">
        <f>B65</f>
        <v>S2</v>
      </c>
      <c r="N1518">
        <v>6843769.0</v>
      </c>
      <c r="O1518">
        <v>6975728.0</v>
      </c>
      <c r="P1518" t="s">
        <v>302</v>
      </c>
    </row>
    <row r="1519">
      <c r="J1519" s="79" t="s">
        <v>1885</v>
      </c>
      <c r="K1519" t="str">
        <f>B65</f>
        <v>S2</v>
      </c>
      <c r="N1519">
        <v>6846909.0</v>
      </c>
      <c r="O1519">
        <v>6978868.0</v>
      </c>
      <c r="P1519" t="s">
        <v>229</v>
      </c>
    </row>
    <row r="1520">
      <c r="J1520" s="79" t="s">
        <v>1886</v>
      </c>
      <c r="K1520" t="str">
        <f>B65</f>
        <v>S2</v>
      </c>
      <c r="N1520">
        <v>6904860.0</v>
      </c>
      <c r="O1520">
        <v>7036819.0</v>
      </c>
      <c r="P1520" t="s">
        <v>219</v>
      </c>
    </row>
    <row r="1521">
      <c r="J1521" s="79" t="s">
        <v>1887</v>
      </c>
      <c r="K1521" t="str">
        <f>B65</f>
        <v>S2</v>
      </c>
      <c r="N1521">
        <v>6912218.0</v>
      </c>
      <c r="O1521">
        <v>7044177.0</v>
      </c>
      <c r="P1521" t="s">
        <v>302</v>
      </c>
    </row>
    <row r="1522">
      <c r="J1522" s="79" t="s">
        <v>1888</v>
      </c>
      <c r="K1522" t="str">
        <f>B65</f>
        <v>S2</v>
      </c>
      <c r="N1522">
        <v>6930167.0</v>
      </c>
      <c r="O1522">
        <v>7062126.0</v>
      </c>
      <c r="P1522" t="s">
        <v>219</v>
      </c>
    </row>
    <row r="1523">
      <c r="J1523" s="79" t="s">
        <v>1889</v>
      </c>
      <c r="K1523" t="str">
        <f>B65</f>
        <v>S2</v>
      </c>
      <c r="M1523" s="79" t="s">
        <v>1890</v>
      </c>
      <c r="N1523">
        <v>6932773.0</v>
      </c>
      <c r="O1523">
        <v>7064732.0</v>
      </c>
      <c r="P1523" t="s">
        <v>302</v>
      </c>
    </row>
    <row r="1524">
      <c r="J1524" s="79" t="s">
        <v>1891</v>
      </c>
      <c r="K1524" t="str">
        <f>B65</f>
        <v>S2</v>
      </c>
      <c r="N1524">
        <v>6934588.0</v>
      </c>
      <c r="O1524">
        <v>7066547.0</v>
      </c>
      <c r="P1524" t="s">
        <v>232</v>
      </c>
    </row>
    <row r="1525">
      <c r="J1525" s="79" t="s">
        <v>1892</v>
      </c>
      <c r="K1525" t="str">
        <f>B65</f>
        <v>S2</v>
      </c>
      <c r="N1525">
        <v>7002339.0</v>
      </c>
      <c r="O1525">
        <v>7134298.0</v>
      </c>
      <c r="P1525" t="s">
        <v>232</v>
      </c>
    </row>
    <row r="1526">
      <c r="J1526" s="79" t="s">
        <v>1893</v>
      </c>
      <c r="K1526" t="str">
        <f>B65</f>
        <v>S2</v>
      </c>
      <c r="N1526">
        <v>7033220.0</v>
      </c>
      <c r="O1526">
        <v>7165179.0</v>
      </c>
      <c r="P1526" t="s">
        <v>221</v>
      </c>
    </row>
    <row r="1527">
      <c r="J1527" s="79" t="s">
        <v>1894</v>
      </c>
      <c r="K1527" t="str">
        <f>B65</f>
        <v>S2</v>
      </c>
      <c r="N1527">
        <v>7076474.0</v>
      </c>
      <c r="O1527">
        <v>7208433.0</v>
      </c>
      <c r="P1527" t="s">
        <v>232</v>
      </c>
    </row>
    <row r="1528">
      <c r="J1528" s="79" t="s">
        <v>1895</v>
      </c>
      <c r="K1528" t="str">
        <f>B65</f>
        <v>S2</v>
      </c>
      <c r="N1528">
        <v>7080201.0</v>
      </c>
      <c r="O1528">
        <v>7212160.0</v>
      </c>
      <c r="P1528" t="s">
        <v>221</v>
      </c>
    </row>
    <row r="1529">
      <c r="J1529" s="79" t="s">
        <v>1896</v>
      </c>
      <c r="K1529" t="str">
        <f>B65</f>
        <v>S2</v>
      </c>
      <c r="N1529">
        <v>7197425.0</v>
      </c>
      <c r="O1529">
        <v>7329384.0</v>
      </c>
      <c r="P1529" t="s">
        <v>221</v>
      </c>
    </row>
    <row r="1530">
      <c r="J1530" s="79" t="s">
        <v>1897</v>
      </c>
      <c r="K1530" t="str">
        <f>B65</f>
        <v>S2</v>
      </c>
      <c r="N1530">
        <v>7236098.0</v>
      </c>
      <c r="O1530">
        <v>7368057.0</v>
      </c>
      <c r="P1530" t="s">
        <v>232</v>
      </c>
    </row>
    <row r="1531">
      <c r="J1531" s="79" t="s">
        <v>1898</v>
      </c>
      <c r="K1531" t="str">
        <f>B65</f>
        <v>S2</v>
      </c>
      <c r="N1531">
        <v>7267986.0</v>
      </c>
      <c r="O1531">
        <v>7399945.0</v>
      </c>
      <c r="P1531" t="s">
        <v>221</v>
      </c>
    </row>
    <row r="1532">
      <c r="J1532" s="79" t="s">
        <v>1899</v>
      </c>
      <c r="K1532" t="str">
        <f>B65</f>
        <v>S2</v>
      </c>
      <c r="M1532" s="79" t="s">
        <v>1900</v>
      </c>
      <c r="N1532">
        <v>7310042.0</v>
      </c>
      <c r="O1532">
        <v>7442001.0</v>
      </c>
      <c r="P1532" t="s">
        <v>221</v>
      </c>
    </row>
    <row r="1533">
      <c r="J1533" s="79" t="s">
        <v>1901</v>
      </c>
      <c r="K1533" t="str">
        <f>B65</f>
        <v>S2</v>
      </c>
      <c r="N1533">
        <v>7310559.0</v>
      </c>
      <c r="O1533">
        <v>7442518.0</v>
      </c>
      <c r="P1533" t="s">
        <v>221</v>
      </c>
    </row>
    <row r="1534">
      <c r="J1534" s="79" t="s">
        <v>1902</v>
      </c>
      <c r="K1534" t="str">
        <f>B65</f>
        <v>S2</v>
      </c>
      <c r="N1534">
        <v>7317021.0</v>
      </c>
      <c r="O1534">
        <v>7448980.0</v>
      </c>
      <c r="P1534" t="s">
        <v>302</v>
      </c>
    </row>
    <row r="1535">
      <c r="J1535" s="79" t="s">
        <v>1903</v>
      </c>
      <c r="K1535" t="str">
        <f>B65</f>
        <v>S2</v>
      </c>
      <c r="N1535">
        <v>7366907.0</v>
      </c>
      <c r="O1535">
        <v>7498866.0</v>
      </c>
      <c r="P1535" t="s">
        <v>221</v>
      </c>
    </row>
    <row r="1536">
      <c r="J1536" s="79" t="s">
        <v>1904</v>
      </c>
      <c r="K1536" t="str">
        <f>B65</f>
        <v>S2</v>
      </c>
      <c r="N1536">
        <v>7371534.0</v>
      </c>
      <c r="O1536">
        <v>7503493.0</v>
      </c>
      <c r="P1536" t="s">
        <v>221</v>
      </c>
    </row>
    <row r="1537">
      <c r="J1537" s="79" t="s">
        <v>1905</v>
      </c>
      <c r="K1537" t="str">
        <f>B65</f>
        <v>S2</v>
      </c>
      <c r="N1537">
        <v>7426527.0</v>
      </c>
      <c r="O1537">
        <v>7558486.0</v>
      </c>
      <c r="P1537" t="s">
        <v>283</v>
      </c>
    </row>
    <row r="1538">
      <c r="J1538" s="79" t="s">
        <v>1906</v>
      </c>
      <c r="K1538" t="str">
        <f>B65</f>
        <v>S2</v>
      </c>
      <c r="N1538">
        <v>7512233.0</v>
      </c>
      <c r="O1538">
        <v>7644192.0</v>
      </c>
      <c r="P1538" t="s">
        <v>219</v>
      </c>
    </row>
    <row r="1539">
      <c r="J1539" s="79" t="s">
        <v>1907</v>
      </c>
      <c r="K1539" t="str">
        <f>B65</f>
        <v>S2</v>
      </c>
      <c r="N1539">
        <v>7516160.0</v>
      </c>
      <c r="O1539">
        <v>7648119.0</v>
      </c>
      <c r="P1539" t="s">
        <v>221</v>
      </c>
    </row>
    <row r="1540">
      <c r="J1540" s="79" t="s">
        <v>1908</v>
      </c>
      <c r="K1540" t="str">
        <f>B65</f>
        <v>S2</v>
      </c>
      <c r="N1540">
        <v>7575670.0</v>
      </c>
      <c r="O1540">
        <v>7707629.0</v>
      </c>
      <c r="P1540" t="s">
        <v>224</v>
      </c>
    </row>
    <row r="1541">
      <c r="J1541" s="79" t="s">
        <v>1909</v>
      </c>
      <c r="K1541" t="str">
        <f>B65</f>
        <v>S2</v>
      </c>
      <c r="N1541">
        <v>7595788.0</v>
      </c>
      <c r="O1541">
        <v>7727747.0</v>
      </c>
      <c r="P1541" t="s">
        <v>229</v>
      </c>
    </row>
    <row r="1542">
      <c r="J1542" s="79" t="s">
        <v>1910</v>
      </c>
      <c r="K1542" t="str">
        <f>B65</f>
        <v>S2</v>
      </c>
      <c r="N1542">
        <v>7612141.0</v>
      </c>
      <c r="O1542">
        <v>7744100.0</v>
      </c>
      <c r="P1542" t="s">
        <v>285</v>
      </c>
    </row>
    <row r="1543">
      <c r="J1543" s="79" t="s">
        <v>1911</v>
      </c>
      <c r="K1543" t="str">
        <f>B65</f>
        <v>S2</v>
      </c>
      <c r="N1543">
        <v>7680621.0</v>
      </c>
      <c r="O1543">
        <v>7812580.0</v>
      </c>
      <c r="P1543" t="s">
        <v>302</v>
      </c>
    </row>
    <row r="1544">
      <c r="J1544" s="79" t="s">
        <v>1912</v>
      </c>
      <c r="K1544" t="str">
        <f>B65</f>
        <v>S2</v>
      </c>
      <c r="N1544">
        <v>7680833.0</v>
      </c>
      <c r="O1544">
        <v>7812792.0</v>
      </c>
      <c r="P1544" t="s">
        <v>232</v>
      </c>
    </row>
    <row r="1545">
      <c r="J1545" s="79" t="s">
        <v>1913</v>
      </c>
      <c r="K1545" t="str">
        <f>B65</f>
        <v>S2</v>
      </c>
      <c r="N1545">
        <v>7684114.0</v>
      </c>
      <c r="O1545">
        <v>7816073.0</v>
      </c>
      <c r="P1545" t="s">
        <v>242</v>
      </c>
    </row>
    <row r="1546">
      <c r="J1546" s="79" t="s">
        <v>1914</v>
      </c>
      <c r="K1546" t="str">
        <f>B65</f>
        <v>S2</v>
      </c>
      <c r="N1546">
        <v>7766510.0</v>
      </c>
      <c r="O1546">
        <v>7898469.0</v>
      </c>
      <c r="P1546" t="s">
        <v>302</v>
      </c>
    </row>
    <row r="1547">
      <c r="J1547" s="79" t="s">
        <v>1915</v>
      </c>
      <c r="K1547" t="str">
        <f>B65</f>
        <v>S2</v>
      </c>
      <c r="N1547">
        <v>7802039.0</v>
      </c>
      <c r="O1547">
        <v>7933998.0</v>
      </c>
      <c r="P1547" t="s">
        <v>302</v>
      </c>
    </row>
    <row r="1548">
      <c r="J1548" s="79" t="s">
        <v>1916</v>
      </c>
      <c r="K1548" t="str">
        <f>B65</f>
        <v>S2</v>
      </c>
      <c r="N1548">
        <v>7812607.0</v>
      </c>
      <c r="O1548">
        <v>7944566.0</v>
      </c>
      <c r="P1548" t="s">
        <v>242</v>
      </c>
    </row>
    <row r="1549">
      <c r="J1549" s="79" t="s">
        <v>1917</v>
      </c>
      <c r="K1549" t="str">
        <f>B65</f>
        <v>S2</v>
      </c>
      <c r="N1549">
        <v>7838757.0</v>
      </c>
      <c r="O1549">
        <v>7970716.0</v>
      </c>
      <c r="P1549" t="s">
        <v>232</v>
      </c>
    </row>
    <row r="1550">
      <c r="J1550" s="79" t="s">
        <v>1918</v>
      </c>
      <c r="K1550" t="str">
        <f>B65</f>
        <v>S2</v>
      </c>
      <c r="N1550">
        <v>7860030.0</v>
      </c>
      <c r="O1550">
        <v>7991989.0</v>
      </c>
      <c r="P1550" t="s">
        <v>232</v>
      </c>
    </row>
    <row r="1551">
      <c r="J1551" s="79" t="s">
        <v>1919</v>
      </c>
      <c r="K1551" t="str">
        <f>B65</f>
        <v>S2</v>
      </c>
      <c r="N1551">
        <v>7880732.0</v>
      </c>
      <c r="O1551">
        <v>8012691.0</v>
      </c>
      <c r="P1551" t="s">
        <v>221</v>
      </c>
    </row>
    <row r="1552">
      <c r="J1552" s="79" t="s">
        <v>1920</v>
      </c>
      <c r="K1552" t="str">
        <f>B65</f>
        <v>S2</v>
      </c>
      <c r="N1552">
        <v>7891490.0</v>
      </c>
      <c r="O1552">
        <v>8023449.0</v>
      </c>
      <c r="P1552" t="s">
        <v>221</v>
      </c>
    </row>
    <row r="1553">
      <c r="J1553" s="79" t="s">
        <v>1921</v>
      </c>
      <c r="K1553" t="str">
        <f>B65</f>
        <v>S2</v>
      </c>
      <c r="N1553">
        <v>7903960.0</v>
      </c>
      <c r="O1553">
        <v>8035919.0</v>
      </c>
      <c r="P1553" t="s">
        <v>221</v>
      </c>
    </row>
    <row r="1554">
      <c r="J1554" s="79" t="s">
        <v>1922</v>
      </c>
      <c r="K1554" t="str">
        <f>B65</f>
        <v>S2</v>
      </c>
      <c r="N1554">
        <v>7911406.0</v>
      </c>
      <c r="O1554">
        <v>8043365.0</v>
      </c>
      <c r="P1554" t="s">
        <v>302</v>
      </c>
    </row>
    <row r="1555">
      <c r="J1555" s="79" t="s">
        <v>1923</v>
      </c>
      <c r="K1555" t="str">
        <f>B65</f>
        <v>S2</v>
      </c>
      <c r="N1555">
        <v>7951524.0</v>
      </c>
      <c r="O1555">
        <v>8083483.0</v>
      </c>
      <c r="P1555" t="s">
        <v>302</v>
      </c>
    </row>
    <row r="1556">
      <c r="J1556" s="79" t="s">
        <v>1924</v>
      </c>
      <c r="K1556" t="str">
        <f>B65</f>
        <v>S2</v>
      </c>
      <c r="N1556">
        <v>7952689.0</v>
      </c>
      <c r="O1556">
        <v>8084648.0</v>
      </c>
      <c r="P1556" t="s">
        <v>229</v>
      </c>
    </row>
    <row r="1557">
      <c r="J1557" s="79" t="s">
        <v>1925</v>
      </c>
      <c r="K1557" t="str">
        <f>B65</f>
        <v>S2</v>
      </c>
      <c r="N1557">
        <v>7960595.0</v>
      </c>
      <c r="O1557">
        <v>8092554.0</v>
      </c>
      <c r="P1557" t="s">
        <v>219</v>
      </c>
    </row>
    <row r="1558">
      <c r="J1558" s="79" t="s">
        <v>1926</v>
      </c>
      <c r="K1558" t="str">
        <f>B65</f>
        <v>S2</v>
      </c>
      <c r="M1558" s="79" t="s">
        <v>1927</v>
      </c>
      <c r="N1558">
        <v>7965848.0</v>
      </c>
      <c r="O1558">
        <v>8097807.0</v>
      </c>
      <c r="P1558" t="s">
        <v>232</v>
      </c>
    </row>
    <row r="1559">
      <c r="J1559" s="79" t="s">
        <v>1928</v>
      </c>
      <c r="K1559" t="str">
        <f>B65</f>
        <v>S2</v>
      </c>
      <c r="N1559">
        <v>8075826.0</v>
      </c>
      <c r="O1559">
        <v>8207785.0</v>
      </c>
      <c r="P1559" t="s">
        <v>302</v>
      </c>
    </row>
    <row r="1560">
      <c r="J1560" s="79" t="s">
        <v>1929</v>
      </c>
      <c r="K1560" t="str">
        <f>B65</f>
        <v>S2</v>
      </c>
      <c r="N1560">
        <v>8195544.0</v>
      </c>
      <c r="O1560">
        <v>8327503.0</v>
      </c>
      <c r="P1560" t="s">
        <v>302</v>
      </c>
    </row>
    <row r="1561">
      <c r="J1561" s="79" t="s">
        <v>1930</v>
      </c>
      <c r="K1561" t="str">
        <f>B65</f>
        <v>S2</v>
      </c>
      <c r="N1561">
        <v>8198872.0</v>
      </c>
      <c r="O1561">
        <v>8330831.0</v>
      </c>
      <c r="P1561" t="s">
        <v>283</v>
      </c>
    </row>
    <row r="1562">
      <c r="J1562" s="79" t="s">
        <v>1931</v>
      </c>
      <c r="K1562" t="str">
        <f>B65</f>
        <v>S2</v>
      </c>
      <c r="N1562">
        <v>8235054.0</v>
      </c>
      <c r="O1562">
        <v>8367013.0</v>
      </c>
      <c r="P1562" t="s">
        <v>255</v>
      </c>
    </row>
    <row r="1563">
      <c r="J1563" s="79" t="s">
        <v>1932</v>
      </c>
      <c r="K1563" t="str">
        <f>B65</f>
        <v>S2</v>
      </c>
      <c r="N1563">
        <v>8238200.0</v>
      </c>
      <c r="O1563">
        <v>8370159.0</v>
      </c>
      <c r="P1563" t="s">
        <v>232</v>
      </c>
    </row>
    <row r="1564">
      <c r="J1564" s="79" t="s">
        <v>1933</v>
      </c>
      <c r="K1564" t="str">
        <f>B65</f>
        <v>S2</v>
      </c>
      <c r="N1564">
        <v>8239161.0</v>
      </c>
      <c r="O1564">
        <v>8371120.0</v>
      </c>
      <c r="P1564" t="s">
        <v>235</v>
      </c>
    </row>
    <row r="1565">
      <c r="J1565" s="79" t="s">
        <v>1934</v>
      </c>
      <c r="K1565" t="str">
        <f>B65</f>
        <v>S2</v>
      </c>
      <c r="N1565">
        <v>8247612.0</v>
      </c>
      <c r="O1565">
        <v>8379571.0</v>
      </c>
      <c r="P1565" t="s">
        <v>219</v>
      </c>
    </row>
    <row r="1566">
      <c r="J1566" s="79" t="s">
        <v>1935</v>
      </c>
      <c r="K1566" t="str">
        <f>B65</f>
        <v>S2</v>
      </c>
      <c r="N1566">
        <v>8295051.0</v>
      </c>
      <c r="O1566">
        <v>8427010.0</v>
      </c>
      <c r="P1566" t="s">
        <v>302</v>
      </c>
    </row>
    <row r="1567">
      <c r="J1567" s="79" t="s">
        <v>1936</v>
      </c>
      <c r="K1567" t="str">
        <f>B65</f>
        <v>S2</v>
      </c>
      <c r="N1567">
        <v>8327245.0</v>
      </c>
      <c r="O1567">
        <v>8459204.0</v>
      </c>
      <c r="P1567" t="s">
        <v>302</v>
      </c>
    </row>
    <row r="1568">
      <c r="J1568" s="79" t="s">
        <v>1937</v>
      </c>
      <c r="K1568" t="str">
        <f>B65</f>
        <v>S2</v>
      </c>
      <c r="N1568">
        <v>8354776.0</v>
      </c>
      <c r="O1568">
        <v>8486735.0</v>
      </c>
      <c r="P1568" t="s">
        <v>302</v>
      </c>
    </row>
    <row r="1569">
      <c r="J1569" s="79" t="s">
        <v>1938</v>
      </c>
      <c r="K1569" t="str">
        <f>B65</f>
        <v>S2</v>
      </c>
      <c r="N1569">
        <v>8367025.0</v>
      </c>
      <c r="O1569">
        <v>8498984.0</v>
      </c>
      <c r="P1569" t="s">
        <v>219</v>
      </c>
    </row>
    <row r="1570">
      <c r="J1570" s="79" t="s">
        <v>1939</v>
      </c>
      <c r="K1570" t="str">
        <f>B65</f>
        <v>S2</v>
      </c>
      <c r="N1570">
        <v>8423040.0</v>
      </c>
      <c r="O1570">
        <v>8554999.0</v>
      </c>
      <c r="P1570" t="s">
        <v>216</v>
      </c>
    </row>
    <row r="1571">
      <c r="J1571" s="79" t="s">
        <v>1940</v>
      </c>
      <c r="K1571" t="str">
        <f>B65</f>
        <v>S2</v>
      </c>
      <c r="N1571">
        <v>8463790.0</v>
      </c>
      <c r="O1571">
        <v>8595749.0</v>
      </c>
      <c r="P1571" t="s">
        <v>232</v>
      </c>
    </row>
    <row r="1572">
      <c r="J1572" s="79" t="s">
        <v>1941</v>
      </c>
      <c r="K1572" t="str">
        <f>B65</f>
        <v>S2</v>
      </c>
      <c r="N1572">
        <v>8490350.0</v>
      </c>
      <c r="O1572">
        <v>8622309.0</v>
      </c>
      <c r="P1572" t="s">
        <v>283</v>
      </c>
    </row>
    <row r="1573">
      <c r="J1573" s="79" t="s">
        <v>1942</v>
      </c>
      <c r="K1573" t="str">
        <f>B65</f>
        <v>S2</v>
      </c>
      <c r="N1573">
        <v>8501968.0</v>
      </c>
      <c r="O1573">
        <v>8633927.0</v>
      </c>
      <c r="P1573" t="s">
        <v>232</v>
      </c>
    </row>
    <row r="1574">
      <c r="J1574" s="79" t="s">
        <v>1943</v>
      </c>
      <c r="K1574" t="str">
        <f>B65</f>
        <v>S2</v>
      </c>
      <c r="N1574">
        <v>8510688.0</v>
      </c>
      <c r="O1574">
        <v>8642647.0</v>
      </c>
      <c r="P1574" t="s">
        <v>216</v>
      </c>
    </row>
    <row r="1575">
      <c r="J1575" s="79" t="s">
        <v>1944</v>
      </c>
      <c r="K1575" t="str">
        <f>B65</f>
        <v>S2</v>
      </c>
      <c r="N1575">
        <v>8524989.0</v>
      </c>
      <c r="O1575">
        <v>8656948.0</v>
      </c>
      <c r="P1575" t="s">
        <v>224</v>
      </c>
    </row>
    <row r="1576">
      <c r="J1576" s="79" t="s">
        <v>1945</v>
      </c>
      <c r="K1576" t="str">
        <f>B65</f>
        <v>S2</v>
      </c>
      <c r="N1576">
        <v>8723713.0</v>
      </c>
      <c r="O1576">
        <v>8855672.0</v>
      </c>
      <c r="P1576" t="s">
        <v>255</v>
      </c>
    </row>
    <row r="1577">
      <c r="J1577" s="79" t="s">
        <v>1946</v>
      </c>
      <c r="K1577" t="str">
        <f>B65</f>
        <v>S2</v>
      </c>
      <c r="N1577">
        <v>8757948.0</v>
      </c>
      <c r="O1577">
        <v>8889907.0</v>
      </c>
      <c r="P1577" t="s">
        <v>232</v>
      </c>
    </row>
    <row r="1578">
      <c r="J1578" s="79" t="s">
        <v>1947</v>
      </c>
      <c r="K1578" t="str">
        <f>B65</f>
        <v>S2</v>
      </c>
      <c r="M1578" t="s">
        <v>1948</v>
      </c>
      <c r="N1578">
        <v>8762842.0</v>
      </c>
      <c r="O1578">
        <v>8894801.0</v>
      </c>
      <c r="P1578" t="s">
        <v>232</v>
      </c>
    </row>
    <row r="1579">
      <c r="J1579" s="79" t="s">
        <v>1949</v>
      </c>
      <c r="K1579" t="str">
        <f>B65</f>
        <v>S2</v>
      </c>
      <c r="N1579">
        <v>9081117.0</v>
      </c>
      <c r="O1579">
        <v>9243508.0</v>
      </c>
      <c r="P1579" t="s">
        <v>235</v>
      </c>
    </row>
    <row r="1580">
      <c r="J1580" s="79" t="s">
        <v>1950</v>
      </c>
      <c r="K1580" t="str">
        <f>B65</f>
        <v>S2</v>
      </c>
      <c r="M1580" t="s">
        <v>1951</v>
      </c>
      <c r="N1580">
        <v>9148223.0</v>
      </c>
      <c r="O1580">
        <v>9310614.0</v>
      </c>
      <c r="P1580" t="s">
        <v>232</v>
      </c>
    </row>
    <row r="1581">
      <c r="J1581" s="79" t="s">
        <v>1952</v>
      </c>
      <c r="K1581" t="str">
        <f>B65</f>
        <v>S2</v>
      </c>
      <c r="N1581">
        <v>9817992.0</v>
      </c>
      <c r="O1581">
        <v>9980383.0</v>
      </c>
      <c r="P1581" t="s">
        <v>221</v>
      </c>
    </row>
    <row r="1582">
      <c r="J1582" s="79" t="s">
        <v>1953</v>
      </c>
      <c r="K1582" t="str">
        <f>B65</f>
        <v>S2</v>
      </c>
      <c r="N1582">
        <v>9844667.0</v>
      </c>
      <c r="O1582">
        <v>1.0007058E7</v>
      </c>
      <c r="P1582" t="s">
        <v>235</v>
      </c>
    </row>
    <row r="1583">
      <c r="J1583" s="79" t="s">
        <v>1954</v>
      </c>
      <c r="K1583" t="str">
        <f>B65</f>
        <v>S2</v>
      </c>
      <c r="N1583">
        <v>9844675.0</v>
      </c>
      <c r="O1583">
        <v>1.0007066E7</v>
      </c>
      <c r="P1583" t="s">
        <v>302</v>
      </c>
    </row>
    <row r="1584">
      <c r="J1584" s="79" t="s">
        <v>1955</v>
      </c>
      <c r="K1584" t="str">
        <f>B65</f>
        <v>S2</v>
      </c>
      <c r="N1584">
        <v>1.3932233E7</v>
      </c>
      <c r="O1584">
        <v>1.1811527E7</v>
      </c>
      <c r="P1584" t="s">
        <v>219</v>
      </c>
    </row>
    <row r="1585">
      <c r="J1585" s="79" t="s">
        <v>1956</v>
      </c>
      <c r="K1585" t="str">
        <f>B65</f>
        <v>S2</v>
      </c>
      <c r="N1585">
        <v>1.3997992E7</v>
      </c>
      <c r="O1585">
        <v>1.1877286E7</v>
      </c>
      <c r="P1585" t="s">
        <v>219</v>
      </c>
    </row>
    <row r="1586">
      <c r="J1586" s="79" t="s">
        <v>1957</v>
      </c>
      <c r="K1586" t="str">
        <f>B65</f>
        <v>S2</v>
      </c>
      <c r="N1586">
        <v>1.4015639E7</v>
      </c>
      <c r="O1586">
        <v>1.1894933E7</v>
      </c>
      <c r="P1586" t="s">
        <v>221</v>
      </c>
    </row>
    <row r="1587">
      <c r="J1587" s="79" t="s">
        <v>1958</v>
      </c>
      <c r="K1587" t="str">
        <f>B65</f>
        <v>S2</v>
      </c>
      <c r="N1587">
        <v>1.4049731E7</v>
      </c>
      <c r="O1587">
        <v>1.1929025E7</v>
      </c>
      <c r="P1587" t="s">
        <v>219</v>
      </c>
    </row>
    <row r="1588">
      <c r="J1588" s="79" t="s">
        <v>1959</v>
      </c>
      <c r="K1588" t="str">
        <f>B65</f>
        <v>S2</v>
      </c>
      <c r="N1588">
        <v>1.4061366E7</v>
      </c>
      <c r="O1588">
        <v>1.194066E7</v>
      </c>
      <c r="P1588" t="s">
        <v>283</v>
      </c>
    </row>
    <row r="1589">
      <c r="J1589" s="79" t="s">
        <v>1960</v>
      </c>
      <c r="K1589" t="str">
        <f>B65</f>
        <v>S2</v>
      </c>
      <c r="N1589">
        <v>1.4093447E7</v>
      </c>
      <c r="O1589">
        <v>1.1972741E7</v>
      </c>
      <c r="P1589" t="s">
        <v>219</v>
      </c>
    </row>
    <row r="1590">
      <c r="J1590" s="79" t="s">
        <v>1961</v>
      </c>
      <c r="K1590" t="str">
        <f>B65</f>
        <v>S2</v>
      </c>
      <c r="N1590">
        <v>1.4127455E7</v>
      </c>
      <c r="O1590">
        <v>1.2006749E7</v>
      </c>
      <c r="P1590" t="s">
        <v>302</v>
      </c>
    </row>
    <row r="1591">
      <c r="J1591" s="79" t="s">
        <v>1962</v>
      </c>
      <c r="K1591" t="str">
        <f>B65</f>
        <v>S2</v>
      </c>
      <c r="N1591">
        <v>1.4155416E7</v>
      </c>
      <c r="O1591">
        <v>1.203471E7</v>
      </c>
      <c r="P1591" t="s">
        <v>302</v>
      </c>
    </row>
    <row r="1592">
      <c r="J1592" s="79" t="s">
        <v>1963</v>
      </c>
      <c r="K1592" t="str">
        <f>B65</f>
        <v>S2</v>
      </c>
      <c r="N1592">
        <v>1.416201E7</v>
      </c>
      <c r="O1592">
        <v>1.2041304E7</v>
      </c>
      <c r="P1592" t="s">
        <v>255</v>
      </c>
    </row>
    <row r="1593">
      <c r="J1593" s="79" t="s">
        <v>1964</v>
      </c>
      <c r="K1593" t="str">
        <f>B65</f>
        <v>S2</v>
      </c>
      <c r="N1593">
        <v>1.4205722E7</v>
      </c>
      <c r="O1593">
        <v>1.2085016E7</v>
      </c>
      <c r="P1593" t="s">
        <v>232</v>
      </c>
    </row>
    <row r="1594">
      <c r="J1594" s="79" t="s">
        <v>1965</v>
      </c>
      <c r="K1594" t="str">
        <f>B65</f>
        <v>S2</v>
      </c>
      <c r="N1594">
        <v>1.4207753E7</v>
      </c>
      <c r="O1594">
        <v>1.2087047E7</v>
      </c>
      <c r="P1594" t="s">
        <v>229</v>
      </c>
    </row>
    <row r="1595">
      <c r="J1595" s="79" t="s">
        <v>1966</v>
      </c>
      <c r="K1595" t="str">
        <f>B65</f>
        <v>S2</v>
      </c>
      <c r="N1595">
        <v>1.4315183E7</v>
      </c>
      <c r="O1595">
        <v>1.2194477E7</v>
      </c>
      <c r="P1595" t="s">
        <v>219</v>
      </c>
    </row>
    <row r="1596">
      <c r="J1596" s="79" t="s">
        <v>1967</v>
      </c>
      <c r="K1596" t="str">
        <f>B65</f>
        <v>S2</v>
      </c>
      <c r="N1596">
        <v>1.4337456E7</v>
      </c>
      <c r="O1596">
        <v>1.2216751E7</v>
      </c>
      <c r="P1596" t="s">
        <v>221</v>
      </c>
    </row>
    <row r="1597">
      <c r="J1597" s="79" t="s">
        <v>1968</v>
      </c>
      <c r="K1597" t="str">
        <f>B65</f>
        <v>S2</v>
      </c>
      <c r="N1597">
        <v>1.4356707E7</v>
      </c>
      <c r="O1597">
        <v>1.2236002E7</v>
      </c>
      <c r="P1597" t="s">
        <v>221</v>
      </c>
    </row>
    <row r="1598">
      <c r="J1598" s="79" t="s">
        <v>1969</v>
      </c>
      <c r="K1598" t="str">
        <f>B65</f>
        <v>S2</v>
      </c>
      <c r="N1598">
        <v>1.4411954E7</v>
      </c>
      <c r="O1598">
        <v>1.2291251E7</v>
      </c>
      <c r="P1598" t="s">
        <v>232</v>
      </c>
    </row>
    <row r="1599">
      <c r="J1599" s="79" t="s">
        <v>1970</v>
      </c>
      <c r="K1599" t="str">
        <f>B65</f>
        <v>S2</v>
      </c>
      <c r="N1599">
        <v>1.4519154E7</v>
      </c>
      <c r="O1599">
        <v>1.2407355E7</v>
      </c>
      <c r="P1599" t="s">
        <v>235</v>
      </c>
    </row>
    <row r="1600">
      <c r="J1600" s="79" t="s">
        <v>1971</v>
      </c>
      <c r="K1600" t="str">
        <f>B65</f>
        <v>S2</v>
      </c>
      <c r="N1600">
        <v>1.4607693E7</v>
      </c>
      <c r="O1600">
        <v>1.2495895E7</v>
      </c>
      <c r="P1600" t="s">
        <v>255</v>
      </c>
    </row>
    <row r="1601">
      <c r="J1601" s="79" t="s">
        <v>1972</v>
      </c>
      <c r="K1601" t="str">
        <f>B65</f>
        <v>S2</v>
      </c>
      <c r="N1601">
        <v>1.4642085E7</v>
      </c>
      <c r="O1601">
        <v>1.2530154E7</v>
      </c>
      <c r="P1601" t="s">
        <v>219</v>
      </c>
    </row>
    <row r="1602">
      <c r="J1602" s="79" t="s">
        <v>1973</v>
      </c>
      <c r="K1602" t="str">
        <f>B65</f>
        <v>S2</v>
      </c>
      <c r="N1602">
        <v>1.4670428E7</v>
      </c>
      <c r="O1602">
        <v>1.2558494E7</v>
      </c>
      <c r="P1602" t="s">
        <v>219</v>
      </c>
    </row>
    <row r="1603">
      <c r="J1603" s="79" t="s">
        <v>1974</v>
      </c>
      <c r="K1603" t="str">
        <f>B65</f>
        <v>S2</v>
      </c>
      <c r="N1603">
        <v>1.4688375E7</v>
      </c>
      <c r="O1603">
        <v>1.2576441E7</v>
      </c>
      <c r="P1603" t="s">
        <v>224</v>
      </c>
    </row>
    <row r="1604">
      <c r="J1604" s="79" t="s">
        <v>1975</v>
      </c>
      <c r="K1604" t="str">
        <f>B65</f>
        <v>S2</v>
      </c>
      <c r="N1604">
        <v>1.4730021E7</v>
      </c>
      <c r="O1604">
        <v>1.2618089E7</v>
      </c>
      <c r="P1604" t="s">
        <v>219</v>
      </c>
    </row>
    <row r="1605">
      <c r="J1605" s="79" t="s">
        <v>1976</v>
      </c>
      <c r="K1605" t="str">
        <f>B65</f>
        <v>S2</v>
      </c>
      <c r="N1605">
        <v>1.4766939E7</v>
      </c>
      <c r="O1605">
        <v>1.2655008E7</v>
      </c>
      <c r="P1605" t="s">
        <v>221</v>
      </c>
    </row>
    <row r="1606">
      <c r="J1606" s="79" t="s">
        <v>1977</v>
      </c>
      <c r="K1606" t="str">
        <f>B65</f>
        <v>S2</v>
      </c>
      <c r="N1606">
        <v>1.4781363E7</v>
      </c>
      <c r="O1606">
        <v>1.2669433E7</v>
      </c>
      <c r="P1606" t="s">
        <v>285</v>
      </c>
    </row>
    <row r="1607">
      <c r="J1607" s="79" t="s">
        <v>1978</v>
      </c>
      <c r="K1607" t="str">
        <f>B65</f>
        <v>S2</v>
      </c>
      <c r="N1607">
        <v>1.4815055E7</v>
      </c>
      <c r="O1607">
        <v>1.2703126E7</v>
      </c>
      <c r="P1607" t="s">
        <v>221</v>
      </c>
    </row>
    <row r="1608">
      <c r="J1608" s="79" t="s">
        <v>1979</v>
      </c>
      <c r="K1608" t="str">
        <f>B65</f>
        <v>S2</v>
      </c>
      <c r="N1608">
        <v>1.4874427E7</v>
      </c>
      <c r="O1608">
        <v>1.2762497E7</v>
      </c>
      <c r="P1608" t="s">
        <v>221</v>
      </c>
    </row>
    <row r="1609">
      <c r="J1609" s="79" t="s">
        <v>1980</v>
      </c>
      <c r="K1609" t="str">
        <f>B65</f>
        <v>S2</v>
      </c>
      <c r="N1609">
        <v>1.5009976E7</v>
      </c>
      <c r="O1609">
        <v>1.2898061E7</v>
      </c>
      <c r="P1609" t="s">
        <v>219</v>
      </c>
    </row>
    <row r="1610">
      <c r="J1610" s="79" t="s">
        <v>1981</v>
      </c>
      <c r="K1610" t="str">
        <f>B65</f>
        <v>S2</v>
      </c>
      <c r="N1610">
        <v>1.506444E7</v>
      </c>
      <c r="O1610">
        <v>1.2952532E7</v>
      </c>
      <c r="P1610" t="s">
        <v>232</v>
      </c>
    </row>
    <row r="1611">
      <c r="J1611" s="79" t="s">
        <v>1982</v>
      </c>
      <c r="K1611" t="str">
        <f>B65</f>
        <v>S2</v>
      </c>
      <c r="M1611" s="79" t="s">
        <v>1983</v>
      </c>
      <c r="N1611">
        <v>1.511337E7</v>
      </c>
      <c r="O1611">
        <v>1.3001457E7</v>
      </c>
      <c r="P1611" t="s">
        <v>221</v>
      </c>
    </row>
    <row r="1612">
      <c r="J1612" s="79" t="s">
        <v>1984</v>
      </c>
      <c r="K1612" t="str">
        <f>B65</f>
        <v>S2</v>
      </c>
      <c r="N1612">
        <v>1.5123658E7</v>
      </c>
      <c r="O1612">
        <v>1.3011745E7</v>
      </c>
      <c r="P1612" t="s">
        <v>302</v>
      </c>
    </row>
    <row r="1613">
      <c r="J1613" s="79" t="s">
        <v>1985</v>
      </c>
      <c r="K1613" t="str">
        <f>B65</f>
        <v>S2</v>
      </c>
      <c r="N1613">
        <v>1.5188978E7</v>
      </c>
      <c r="O1613">
        <v>1.3077064E7</v>
      </c>
      <c r="P1613" t="s">
        <v>216</v>
      </c>
    </row>
    <row r="1614">
      <c r="J1614" s="79" t="s">
        <v>1986</v>
      </c>
      <c r="K1614" t="str">
        <f>B65</f>
        <v>S2</v>
      </c>
      <c r="N1614">
        <v>1.5241723E7</v>
      </c>
      <c r="O1614">
        <v>1.3129809E7</v>
      </c>
      <c r="P1614" t="s">
        <v>224</v>
      </c>
    </row>
    <row r="1615">
      <c r="J1615" s="79" t="s">
        <v>1987</v>
      </c>
      <c r="K1615" t="str">
        <f>B65</f>
        <v>S2</v>
      </c>
      <c r="N1615">
        <v>1.5264228E7</v>
      </c>
      <c r="O1615">
        <v>1.3152318E7</v>
      </c>
      <c r="P1615" t="s">
        <v>219</v>
      </c>
    </row>
    <row r="1616">
      <c r="J1616" s="79" t="s">
        <v>1988</v>
      </c>
      <c r="K1616" t="str">
        <f>B65</f>
        <v>S2</v>
      </c>
      <c r="N1616">
        <v>1.5266123E7</v>
      </c>
      <c r="O1616">
        <v>1.3154212E7</v>
      </c>
      <c r="P1616" t="s">
        <v>219</v>
      </c>
    </row>
    <row r="1617">
      <c r="J1617" s="79" t="s">
        <v>1989</v>
      </c>
      <c r="K1617" t="str">
        <f>B65</f>
        <v>S2</v>
      </c>
      <c r="N1617">
        <v>1.5342985E7</v>
      </c>
      <c r="O1617">
        <v>1.3231104E7</v>
      </c>
      <c r="P1617" t="s">
        <v>283</v>
      </c>
    </row>
    <row r="1618">
      <c r="J1618" s="79" t="s">
        <v>1990</v>
      </c>
      <c r="K1618" t="str">
        <f>B65</f>
        <v>S2</v>
      </c>
      <c r="N1618">
        <v>1.5359444E7</v>
      </c>
      <c r="O1618">
        <v>1.3247564E7</v>
      </c>
      <c r="P1618" t="s">
        <v>283</v>
      </c>
    </row>
    <row r="1619">
      <c r="J1619" s="79" t="s">
        <v>1991</v>
      </c>
      <c r="K1619" t="str">
        <f>B65</f>
        <v>S2</v>
      </c>
      <c r="N1619">
        <v>1.5376008E7</v>
      </c>
      <c r="O1619">
        <v>1.3264128E7</v>
      </c>
      <c r="P1619" t="s">
        <v>219</v>
      </c>
    </row>
    <row r="1620">
      <c r="J1620" s="79" t="s">
        <v>1992</v>
      </c>
      <c r="K1620" t="str">
        <f>B65</f>
        <v>S2</v>
      </c>
      <c r="N1620">
        <v>1.5408468E7</v>
      </c>
      <c r="O1620">
        <v>1.3296588E7</v>
      </c>
      <c r="P1620" t="s">
        <v>221</v>
      </c>
    </row>
    <row r="1621">
      <c r="J1621" s="79" t="s">
        <v>1993</v>
      </c>
      <c r="K1621" t="str">
        <f>B65</f>
        <v>S2</v>
      </c>
      <c r="N1621">
        <v>1.5411583E7</v>
      </c>
      <c r="O1621">
        <v>1.3299703E7</v>
      </c>
      <c r="P1621" t="s">
        <v>229</v>
      </c>
    </row>
    <row r="1622">
      <c r="J1622" s="79" t="s">
        <v>1994</v>
      </c>
      <c r="K1622" t="str">
        <f>B65</f>
        <v>S2</v>
      </c>
      <c r="N1622">
        <v>1.5461507E7</v>
      </c>
      <c r="O1622">
        <v>1.3349627E7</v>
      </c>
      <c r="P1622" t="s">
        <v>235</v>
      </c>
    </row>
    <row r="1623">
      <c r="J1623" s="79" t="s">
        <v>1995</v>
      </c>
      <c r="K1623" t="str">
        <f>B65</f>
        <v>S2</v>
      </c>
      <c r="N1623">
        <v>1.5470196E7</v>
      </c>
      <c r="O1623">
        <v>1.3358316E7</v>
      </c>
      <c r="P1623" t="s">
        <v>219</v>
      </c>
    </row>
    <row r="1624">
      <c r="J1624" s="79" t="s">
        <v>1996</v>
      </c>
      <c r="K1624" t="str">
        <f>B65</f>
        <v>S2</v>
      </c>
      <c r="N1624">
        <v>1.5505322E7</v>
      </c>
      <c r="O1624">
        <v>1.3393442E7</v>
      </c>
      <c r="P1624" t="s">
        <v>285</v>
      </c>
    </row>
    <row r="1625">
      <c r="J1625" s="79" t="s">
        <v>1997</v>
      </c>
      <c r="K1625" t="str">
        <f>B65</f>
        <v>S2</v>
      </c>
      <c r="M1625" s="79" t="s">
        <v>1998</v>
      </c>
      <c r="N1625">
        <v>1.5558766E7</v>
      </c>
      <c r="O1625">
        <v>1.3446886E7</v>
      </c>
      <c r="P1625" t="s">
        <v>221</v>
      </c>
    </row>
    <row r="1626">
      <c r="J1626" s="79" t="s">
        <v>1999</v>
      </c>
      <c r="K1626" t="str">
        <f>B65</f>
        <v>S2</v>
      </c>
      <c r="N1626">
        <v>1.5558877E7</v>
      </c>
      <c r="O1626">
        <v>1.3446997E7</v>
      </c>
      <c r="P1626" t="s">
        <v>232</v>
      </c>
    </row>
    <row r="1627">
      <c r="J1627" s="79" t="s">
        <v>2000</v>
      </c>
      <c r="K1627" t="str">
        <f>B65</f>
        <v>S2</v>
      </c>
      <c r="N1627">
        <v>1.5598835E7</v>
      </c>
      <c r="O1627">
        <v>1.3486955E7</v>
      </c>
      <c r="P1627" t="s">
        <v>219</v>
      </c>
    </row>
    <row r="1628">
      <c r="J1628" s="79" t="s">
        <v>2001</v>
      </c>
      <c r="K1628" t="str">
        <f>B65</f>
        <v>S2</v>
      </c>
      <c r="N1628">
        <v>1.5615956E7</v>
      </c>
      <c r="O1628">
        <v>1.3504076E7</v>
      </c>
      <c r="P1628" t="s">
        <v>224</v>
      </c>
    </row>
    <row r="1629">
      <c r="J1629" s="79" t="s">
        <v>2002</v>
      </c>
      <c r="K1629" t="str">
        <f>B65</f>
        <v>S2</v>
      </c>
      <c r="N1629">
        <v>1.5677103E7</v>
      </c>
      <c r="O1629">
        <v>1.3565223E7</v>
      </c>
      <c r="P1629" t="s">
        <v>221</v>
      </c>
    </row>
    <row r="1630">
      <c r="J1630" s="79" t="s">
        <v>2003</v>
      </c>
      <c r="K1630" t="str">
        <f>B65</f>
        <v>S2</v>
      </c>
      <c r="N1630">
        <v>1.5708901E7</v>
      </c>
      <c r="O1630">
        <v>1.3597021E7</v>
      </c>
      <c r="P1630" t="s">
        <v>283</v>
      </c>
    </row>
    <row r="1631">
      <c r="J1631" s="79" t="s">
        <v>2004</v>
      </c>
      <c r="K1631" t="str">
        <f>B65</f>
        <v>S2</v>
      </c>
      <c r="N1631">
        <v>1.5714362E7</v>
      </c>
      <c r="O1631">
        <v>1.3602482E7</v>
      </c>
      <c r="P1631" t="s">
        <v>232</v>
      </c>
    </row>
    <row r="1632">
      <c r="J1632" s="79" t="s">
        <v>2005</v>
      </c>
      <c r="K1632" t="str">
        <f>B65</f>
        <v>S2</v>
      </c>
      <c r="N1632">
        <v>1.5774693E7</v>
      </c>
      <c r="O1632">
        <v>1.3662813E7</v>
      </c>
      <c r="P1632" t="s">
        <v>255</v>
      </c>
    </row>
    <row r="1633">
      <c r="J1633" s="79" t="s">
        <v>2006</v>
      </c>
      <c r="K1633" t="str">
        <f>B65</f>
        <v>S2</v>
      </c>
      <c r="N1633">
        <v>1.5810597E7</v>
      </c>
      <c r="O1633">
        <v>1.3698717E7</v>
      </c>
      <c r="P1633" t="s">
        <v>302</v>
      </c>
    </row>
    <row r="1634">
      <c r="J1634" s="79" t="s">
        <v>2007</v>
      </c>
      <c r="K1634" t="str">
        <f>B65</f>
        <v>S2</v>
      </c>
      <c r="M1634" s="79" t="s">
        <v>2008</v>
      </c>
      <c r="N1634">
        <v>1.5833988E7</v>
      </c>
      <c r="O1634">
        <v>1.3722108E7</v>
      </c>
      <c r="P1634" t="s">
        <v>232</v>
      </c>
    </row>
    <row r="1635">
      <c r="J1635" s="79" t="s">
        <v>2009</v>
      </c>
      <c r="K1635" t="str">
        <f>B65</f>
        <v>S2</v>
      </c>
      <c r="N1635">
        <v>1.5868911E7</v>
      </c>
      <c r="O1635">
        <v>1.3757031E7</v>
      </c>
      <c r="P1635" t="s">
        <v>283</v>
      </c>
    </row>
    <row r="1636">
      <c r="J1636" s="79" t="s">
        <v>2010</v>
      </c>
      <c r="K1636" t="str">
        <f>B65</f>
        <v>S2</v>
      </c>
      <c r="N1636">
        <v>1.5891021E7</v>
      </c>
      <c r="O1636">
        <v>1.3779141E7</v>
      </c>
      <c r="P1636" t="s">
        <v>219</v>
      </c>
    </row>
    <row r="1637">
      <c r="J1637" s="79" t="s">
        <v>2011</v>
      </c>
      <c r="K1637" t="str">
        <f>B65</f>
        <v>S2</v>
      </c>
      <c r="N1637">
        <v>1.5940082E7</v>
      </c>
      <c r="O1637">
        <v>1.3828202E7</v>
      </c>
      <c r="P1637" t="s">
        <v>221</v>
      </c>
    </row>
    <row r="1638">
      <c r="J1638" s="79" t="s">
        <v>2012</v>
      </c>
      <c r="K1638" t="str">
        <f>B65</f>
        <v>S2</v>
      </c>
      <c r="N1638">
        <v>1.5950297E7</v>
      </c>
      <c r="O1638">
        <v>1.3838417E7</v>
      </c>
      <c r="P1638" t="s">
        <v>219</v>
      </c>
    </row>
    <row r="1639">
      <c r="J1639" s="79" t="s">
        <v>2013</v>
      </c>
      <c r="K1639" t="str">
        <f>B65</f>
        <v>S2</v>
      </c>
      <c r="N1639">
        <v>1.6021564E7</v>
      </c>
      <c r="O1639">
        <v>1.3909684E7</v>
      </c>
      <c r="P1639" t="s">
        <v>232</v>
      </c>
    </row>
    <row r="1640">
      <c r="J1640" s="79" t="s">
        <v>2014</v>
      </c>
      <c r="K1640" t="str">
        <f>B65</f>
        <v>S2</v>
      </c>
      <c r="N1640">
        <v>1.608412E7</v>
      </c>
      <c r="O1640">
        <v>1.397224E7</v>
      </c>
      <c r="P1640" t="s">
        <v>232</v>
      </c>
    </row>
    <row r="1641">
      <c r="J1641" s="79" t="s">
        <v>2015</v>
      </c>
      <c r="K1641" t="str">
        <f>B65</f>
        <v>S2</v>
      </c>
      <c r="N1641">
        <v>1.6184368E7</v>
      </c>
      <c r="O1641">
        <v>1.4072488E7</v>
      </c>
      <c r="P1641" t="s">
        <v>221</v>
      </c>
    </row>
    <row r="1642">
      <c r="J1642" s="79" t="s">
        <v>2016</v>
      </c>
      <c r="K1642" t="str">
        <f>B65</f>
        <v>S2</v>
      </c>
      <c r="N1642">
        <v>1.623183E7</v>
      </c>
      <c r="O1642">
        <v>1.411995E7</v>
      </c>
      <c r="P1642" t="s">
        <v>219</v>
      </c>
    </row>
    <row r="1643">
      <c r="J1643" s="79" t="s">
        <v>2017</v>
      </c>
      <c r="K1643" t="str">
        <f>B65</f>
        <v>S2</v>
      </c>
      <c r="N1643">
        <v>1.6232247E7</v>
      </c>
      <c r="O1643">
        <v>1.4120367E7</v>
      </c>
      <c r="P1643" t="s">
        <v>242</v>
      </c>
    </row>
    <row r="1644">
      <c r="J1644" s="79" t="s">
        <v>2018</v>
      </c>
      <c r="K1644" t="str">
        <f>B65</f>
        <v>S2</v>
      </c>
      <c r="N1644">
        <v>1.6290987E7</v>
      </c>
      <c r="O1644">
        <v>1.4179107E7</v>
      </c>
      <c r="P1644" t="s">
        <v>224</v>
      </c>
    </row>
    <row r="1645">
      <c r="J1645" s="79" t="s">
        <v>2019</v>
      </c>
      <c r="K1645" t="str">
        <f>B65</f>
        <v>S2</v>
      </c>
      <c r="N1645">
        <v>1.6364683E7</v>
      </c>
      <c r="O1645">
        <v>1.4252803E7</v>
      </c>
      <c r="P1645" t="s">
        <v>302</v>
      </c>
    </row>
    <row r="1646">
      <c r="J1646" s="79" t="s">
        <v>2020</v>
      </c>
      <c r="K1646" t="str">
        <f>B65</f>
        <v>S2</v>
      </c>
      <c r="N1646">
        <v>1.6434012E7</v>
      </c>
      <c r="O1646">
        <v>1.4322132E7</v>
      </c>
      <c r="P1646" t="s">
        <v>219</v>
      </c>
    </row>
    <row r="1647">
      <c r="J1647" s="79" t="s">
        <v>2021</v>
      </c>
      <c r="K1647" t="str">
        <f>B65</f>
        <v>S2</v>
      </c>
      <c r="N1647">
        <v>1.6458056E7</v>
      </c>
      <c r="O1647">
        <v>1.4346176E7</v>
      </c>
      <c r="P1647" t="s">
        <v>224</v>
      </c>
    </row>
    <row r="1648">
      <c r="J1648" s="79" t="s">
        <v>2022</v>
      </c>
      <c r="K1648" t="str">
        <f>B65</f>
        <v>S2</v>
      </c>
      <c r="N1648">
        <v>1.6461543E7</v>
      </c>
      <c r="O1648">
        <v>1.4349663E7</v>
      </c>
      <c r="P1648" t="s">
        <v>221</v>
      </c>
    </row>
    <row r="1649">
      <c r="J1649" s="79" t="s">
        <v>2023</v>
      </c>
      <c r="K1649" t="str">
        <f>B65</f>
        <v>S2</v>
      </c>
      <c r="N1649">
        <v>1.6510889E7</v>
      </c>
      <c r="O1649">
        <v>1.4399009E7</v>
      </c>
      <c r="P1649" t="s">
        <v>302</v>
      </c>
    </row>
    <row r="1650">
      <c r="J1650" s="79" t="s">
        <v>2024</v>
      </c>
      <c r="K1650" t="str">
        <f>B65</f>
        <v>S2</v>
      </c>
      <c r="N1650">
        <v>1.6571794E7</v>
      </c>
      <c r="O1650">
        <v>1.4459914E7</v>
      </c>
      <c r="P1650" t="s">
        <v>302</v>
      </c>
    </row>
    <row r="1651">
      <c r="J1651" s="79" t="s">
        <v>2025</v>
      </c>
      <c r="K1651" t="str">
        <f>B65</f>
        <v>S2</v>
      </c>
      <c r="N1651">
        <v>1.6609792E7</v>
      </c>
      <c r="O1651">
        <v>1.4497912E7</v>
      </c>
      <c r="P1651" t="s">
        <v>216</v>
      </c>
    </row>
    <row r="1652">
      <c r="J1652" s="79" t="s">
        <v>2026</v>
      </c>
      <c r="K1652" t="str">
        <f>B65</f>
        <v>S2</v>
      </c>
      <c r="N1652">
        <v>1.66505E7</v>
      </c>
      <c r="O1652">
        <v>1.453862E7</v>
      </c>
      <c r="P1652" t="s">
        <v>221</v>
      </c>
    </row>
    <row r="1653">
      <c r="J1653" s="79" t="s">
        <v>2027</v>
      </c>
      <c r="K1653" t="str">
        <f>B65</f>
        <v>S2</v>
      </c>
      <c r="N1653">
        <v>1.6664988E7</v>
      </c>
      <c r="O1653">
        <v>1.4553108E7</v>
      </c>
      <c r="P1653" t="s">
        <v>285</v>
      </c>
    </row>
    <row r="1654">
      <c r="J1654" s="79" t="s">
        <v>2028</v>
      </c>
      <c r="K1654" t="str">
        <f>B65</f>
        <v>S2</v>
      </c>
      <c r="N1654">
        <v>1.6668537E7</v>
      </c>
      <c r="O1654">
        <v>1.4556657E7</v>
      </c>
      <c r="P1654" t="s">
        <v>219</v>
      </c>
    </row>
    <row r="1655">
      <c r="J1655" s="79" t="s">
        <v>2029</v>
      </c>
      <c r="K1655" t="str">
        <f>B65</f>
        <v>S2</v>
      </c>
      <c r="N1655">
        <v>1.667535E7</v>
      </c>
      <c r="O1655">
        <v>1.456347E7</v>
      </c>
      <c r="P1655" t="s">
        <v>232</v>
      </c>
    </row>
    <row r="1656">
      <c r="J1656" s="79" t="s">
        <v>2030</v>
      </c>
      <c r="K1656" t="str">
        <f>B65</f>
        <v>S2</v>
      </c>
      <c r="N1656">
        <v>1.6733655E7</v>
      </c>
      <c r="O1656">
        <v>1.4621775E7</v>
      </c>
      <c r="P1656" t="s">
        <v>216</v>
      </c>
    </row>
    <row r="1657">
      <c r="J1657" s="79" t="s">
        <v>2031</v>
      </c>
      <c r="K1657" t="str">
        <f>B65</f>
        <v>S2</v>
      </c>
      <c r="N1657">
        <v>1.6747377E7</v>
      </c>
      <c r="O1657">
        <v>1.4635497E7</v>
      </c>
      <c r="P1657" t="s">
        <v>232</v>
      </c>
    </row>
    <row r="1658">
      <c r="J1658" s="79" t="s">
        <v>2032</v>
      </c>
      <c r="K1658" t="str">
        <f>B65</f>
        <v>S2</v>
      </c>
      <c r="N1658">
        <v>1.6781211E7</v>
      </c>
      <c r="O1658">
        <v>1.4669331E7</v>
      </c>
      <c r="P1658" t="s">
        <v>221</v>
      </c>
    </row>
    <row r="1659">
      <c r="J1659" s="79" t="s">
        <v>2033</v>
      </c>
      <c r="K1659" t="str">
        <f>B65</f>
        <v>S2</v>
      </c>
      <c r="N1659">
        <v>1.6788451E7</v>
      </c>
      <c r="O1659">
        <v>1.4676571E7</v>
      </c>
      <c r="P1659" t="s">
        <v>219</v>
      </c>
    </row>
    <row r="1660">
      <c r="J1660" s="79" t="s">
        <v>2034</v>
      </c>
      <c r="K1660" t="str">
        <f>B65</f>
        <v>S2</v>
      </c>
      <c r="N1660">
        <v>1.6802478E7</v>
      </c>
      <c r="O1660">
        <v>1.4690598E7</v>
      </c>
      <c r="P1660" t="s">
        <v>221</v>
      </c>
    </row>
    <row r="1661">
      <c r="J1661" s="79" t="s">
        <v>2035</v>
      </c>
      <c r="K1661" t="str">
        <f>B65</f>
        <v>S2</v>
      </c>
      <c r="N1661">
        <v>1.6847459E7</v>
      </c>
      <c r="O1661">
        <v>1.4735579E7</v>
      </c>
      <c r="P1661" t="s">
        <v>232</v>
      </c>
    </row>
    <row r="1662">
      <c r="J1662" s="79" t="s">
        <v>2036</v>
      </c>
      <c r="K1662" t="str">
        <f>B65</f>
        <v>S2</v>
      </c>
      <c r="N1662">
        <v>1.6871556E7</v>
      </c>
      <c r="O1662">
        <v>1.4759676E7</v>
      </c>
      <c r="P1662" t="s">
        <v>221</v>
      </c>
    </row>
    <row r="1663">
      <c r="J1663" s="79" t="s">
        <v>2037</v>
      </c>
      <c r="K1663" t="str">
        <f>B65</f>
        <v>S2</v>
      </c>
      <c r="N1663">
        <v>1.6899761E7</v>
      </c>
      <c r="O1663">
        <v>1.4787881E7</v>
      </c>
      <c r="P1663" t="s">
        <v>232</v>
      </c>
    </row>
    <row r="1664">
      <c r="J1664" s="79" t="s">
        <v>2038</v>
      </c>
      <c r="K1664" t="str">
        <f>B65</f>
        <v>S2</v>
      </c>
      <c r="N1664">
        <v>1.6912454E7</v>
      </c>
      <c r="O1664">
        <v>1.4800574E7</v>
      </c>
      <c r="P1664" t="s">
        <v>302</v>
      </c>
    </row>
    <row r="1665">
      <c r="J1665" s="79" t="s">
        <v>2039</v>
      </c>
      <c r="K1665" t="str">
        <f>B65</f>
        <v>S2</v>
      </c>
      <c r="N1665">
        <v>1.6985373E7</v>
      </c>
      <c r="O1665">
        <v>1.4873493E7</v>
      </c>
      <c r="P1665" t="s">
        <v>302</v>
      </c>
    </row>
    <row r="1666">
      <c r="J1666" s="79" t="s">
        <v>2040</v>
      </c>
      <c r="K1666" t="str">
        <f>B65</f>
        <v>S2</v>
      </c>
      <c r="N1666">
        <v>1.7000518E7</v>
      </c>
      <c r="O1666">
        <v>1.4888638E7</v>
      </c>
      <c r="P1666" t="s">
        <v>232</v>
      </c>
    </row>
    <row r="1667">
      <c r="J1667" s="79" t="s">
        <v>2041</v>
      </c>
      <c r="K1667" t="str">
        <f>B65</f>
        <v>S2</v>
      </c>
      <c r="N1667">
        <v>1.7064719E7</v>
      </c>
      <c r="O1667">
        <v>1.4952839E7</v>
      </c>
      <c r="P1667" t="s">
        <v>242</v>
      </c>
    </row>
    <row r="1668">
      <c r="J1668" s="79" t="s">
        <v>2042</v>
      </c>
      <c r="K1668" t="str">
        <f>B65</f>
        <v>S2</v>
      </c>
      <c r="N1668">
        <v>1.7065596E7</v>
      </c>
      <c r="O1668">
        <v>1.4953716E7</v>
      </c>
      <c r="P1668" t="s">
        <v>221</v>
      </c>
    </row>
    <row r="1669">
      <c r="J1669" s="79" t="s">
        <v>2043</v>
      </c>
      <c r="K1669" t="str">
        <f>B65</f>
        <v>S2</v>
      </c>
      <c r="N1669">
        <v>1.7188371E7</v>
      </c>
      <c r="O1669">
        <v>1.5076491E7</v>
      </c>
      <c r="P1669" t="s">
        <v>235</v>
      </c>
    </row>
    <row r="1670">
      <c r="J1670" s="79" t="s">
        <v>2044</v>
      </c>
      <c r="K1670" t="str">
        <f>B65</f>
        <v>S2</v>
      </c>
      <c r="N1670">
        <v>1.7244572E7</v>
      </c>
      <c r="O1670">
        <v>1.5132692E7</v>
      </c>
      <c r="P1670" t="s">
        <v>221</v>
      </c>
    </row>
    <row r="1671">
      <c r="J1671" s="79" t="s">
        <v>2045</v>
      </c>
      <c r="K1671" t="str">
        <f>B65</f>
        <v>S2</v>
      </c>
      <c r="N1671">
        <v>1.730214E7</v>
      </c>
      <c r="O1671">
        <v>1.519026E7</v>
      </c>
      <c r="P1671" t="s">
        <v>221</v>
      </c>
    </row>
    <row r="1672">
      <c r="J1672" s="79" t="s">
        <v>2046</v>
      </c>
      <c r="K1672" t="str">
        <f>B65</f>
        <v>S2</v>
      </c>
      <c r="N1672">
        <v>1.7335605E7</v>
      </c>
      <c r="O1672">
        <v>1.5223725E7</v>
      </c>
      <c r="P1672" t="s">
        <v>219</v>
      </c>
    </row>
    <row r="1673">
      <c r="J1673" s="79" t="s">
        <v>2047</v>
      </c>
      <c r="K1673" t="str">
        <f>B65</f>
        <v>S2</v>
      </c>
      <c r="N1673">
        <v>1.7342579E7</v>
      </c>
      <c r="O1673">
        <v>1.5230699E7</v>
      </c>
      <c r="P1673" t="s">
        <v>221</v>
      </c>
    </row>
    <row r="1674">
      <c r="J1674" s="79" t="s">
        <v>2048</v>
      </c>
      <c r="K1674" t="str">
        <f>B65</f>
        <v>S2</v>
      </c>
      <c r="N1674">
        <v>1.7350222E7</v>
      </c>
      <c r="O1674">
        <v>1.5238342E7</v>
      </c>
      <c r="P1674" t="s">
        <v>216</v>
      </c>
    </row>
    <row r="1675">
      <c r="J1675" s="79" t="s">
        <v>2049</v>
      </c>
      <c r="K1675" t="str">
        <f>B65</f>
        <v>S2</v>
      </c>
      <c r="N1675">
        <v>1.7356508E7</v>
      </c>
      <c r="O1675">
        <v>1.5244628E7</v>
      </c>
      <c r="P1675" t="s">
        <v>219</v>
      </c>
    </row>
    <row r="1676">
      <c r="J1676" s="79" t="s">
        <v>2050</v>
      </c>
      <c r="K1676" t="str">
        <f>B65</f>
        <v>S2</v>
      </c>
      <c r="N1676">
        <v>1.7368163E7</v>
      </c>
      <c r="O1676">
        <v>1.5256283E7</v>
      </c>
      <c r="P1676" t="s">
        <v>224</v>
      </c>
    </row>
    <row r="1677">
      <c r="J1677" s="79" t="s">
        <v>2051</v>
      </c>
      <c r="K1677" t="str">
        <f>B65</f>
        <v>S2</v>
      </c>
      <c r="N1677">
        <v>1.7372013E7</v>
      </c>
      <c r="O1677">
        <v>1.5260133E7</v>
      </c>
      <c r="P1677" t="s">
        <v>221</v>
      </c>
    </row>
    <row r="1678">
      <c r="J1678" s="79" t="s">
        <v>2052</v>
      </c>
      <c r="K1678" t="str">
        <f>B65</f>
        <v>S2</v>
      </c>
      <c r="N1678">
        <v>1.7381837E7</v>
      </c>
      <c r="O1678">
        <v>1.5269957E7</v>
      </c>
      <c r="P1678" t="s">
        <v>219</v>
      </c>
    </row>
    <row r="1679">
      <c r="J1679" s="79" t="s">
        <v>2053</v>
      </c>
      <c r="K1679" t="str">
        <f>B65</f>
        <v>S2</v>
      </c>
      <c r="N1679">
        <v>1.7396498E7</v>
      </c>
      <c r="O1679">
        <v>1.5284618E7</v>
      </c>
      <c r="P1679" t="s">
        <v>255</v>
      </c>
    </row>
    <row r="1680">
      <c r="J1680" s="79" t="s">
        <v>2054</v>
      </c>
      <c r="K1680" t="str">
        <f>B65</f>
        <v>S2</v>
      </c>
      <c r="N1680">
        <v>1.740685E7</v>
      </c>
      <c r="O1680">
        <v>1.529497E7</v>
      </c>
      <c r="P1680" t="s">
        <v>302</v>
      </c>
    </row>
    <row r="1681">
      <c r="J1681" s="79" t="s">
        <v>2055</v>
      </c>
      <c r="K1681" t="str">
        <f>B65</f>
        <v>S2</v>
      </c>
      <c r="N1681">
        <v>1.7463045E7</v>
      </c>
      <c r="O1681">
        <v>1.5351165E7</v>
      </c>
      <c r="P1681" t="s">
        <v>221</v>
      </c>
    </row>
    <row r="1682">
      <c r="J1682" s="79" t="s">
        <v>2056</v>
      </c>
      <c r="K1682" t="str">
        <f>B65</f>
        <v>S2</v>
      </c>
      <c r="N1682">
        <v>1.7467245E7</v>
      </c>
      <c r="O1682">
        <v>1.5355365E7</v>
      </c>
      <c r="P1682" t="s">
        <v>219</v>
      </c>
    </row>
    <row r="1683">
      <c r="J1683" s="79" t="s">
        <v>2057</v>
      </c>
      <c r="K1683" t="str">
        <f>B65</f>
        <v>S2</v>
      </c>
      <c r="N1683">
        <v>1.747896E7</v>
      </c>
      <c r="O1683">
        <v>1.536708E7</v>
      </c>
      <c r="P1683" t="s">
        <v>219</v>
      </c>
    </row>
    <row r="1684">
      <c r="J1684" s="79" t="s">
        <v>2058</v>
      </c>
      <c r="K1684" t="str">
        <f>B65</f>
        <v>S2</v>
      </c>
      <c r="M1684" s="79" t="s">
        <v>2059</v>
      </c>
      <c r="N1684">
        <v>1.749109E7</v>
      </c>
      <c r="O1684">
        <v>1.537921E7</v>
      </c>
      <c r="P1684" t="s">
        <v>229</v>
      </c>
    </row>
    <row r="1685">
      <c r="J1685" s="79" t="s">
        <v>2060</v>
      </c>
      <c r="K1685" t="str">
        <f>B65</f>
        <v>S2</v>
      </c>
      <c r="N1685">
        <v>1.7567789E7</v>
      </c>
      <c r="O1685">
        <v>1.5455909E7</v>
      </c>
      <c r="P1685" t="s">
        <v>255</v>
      </c>
    </row>
    <row r="1686">
      <c r="J1686" s="79" t="s">
        <v>2061</v>
      </c>
      <c r="K1686" t="str">
        <f>B65</f>
        <v>S2</v>
      </c>
      <c r="N1686">
        <v>1.7639467E7</v>
      </c>
      <c r="O1686">
        <v>1.5527587E7</v>
      </c>
      <c r="P1686" t="s">
        <v>221</v>
      </c>
    </row>
    <row r="1687">
      <c r="J1687" s="79" t="s">
        <v>2062</v>
      </c>
      <c r="K1687" t="str">
        <f>B65</f>
        <v>S2</v>
      </c>
      <c r="N1687">
        <v>1.7718292E7</v>
      </c>
      <c r="O1687">
        <v>1.5606412E7</v>
      </c>
      <c r="P1687" t="s">
        <v>255</v>
      </c>
    </row>
    <row r="1688">
      <c r="J1688" s="79" t="s">
        <v>2063</v>
      </c>
      <c r="K1688" t="str">
        <f>B65</f>
        <v>S2</v>
      </c>
      <c r="N1688">
        <v>1.7735748E7</v>
      </c>
      <c r="O1688">
        <v>1.5623868E7</v>
      </c>
      <c r="P1688" t="s">
        <v>232</v>
      </c>
    </row>
    <row r="1689">
      <c r="J1689" s="79" t="s">
        <v>2064</v>
      </c>
      <c r="K1689" t="str">
        <f>B65</f>
        <v>S2</v>
      </c>
      <c r="N1689">
        <v>1.7751025E7</v>
      </c>
      <c r="O1689">
        <v>1.5639145E7</v>
      </c>
      <c r="P1689" t="s">
        <v>216</v>
      </c>
    </row>
    <row r="1690">
      <c r="J1690" s="79" t="s">
        <v>2065</v>
      </c>
      <c r="K1690" t="str">
        <f>B65</f>
        <v>S2</v>
      </c>
      <c r="L1690" s="79"/>
      <c r="M1690" s="79" t="s">
        <v>133</v>
      </c>
      <c r="N1690">
        <v>1.7767238E7</v>
      </c>
      <c r="O1690">
        <v>1.5655358E7</v>
      </c>
      <c r="P1690" t="s">
        <v>232</v>
      </c>
    </row>
    <row r="1691">
      <c r="J1691" s="79" t="s">
        <v>2066</v>
      </c>
      <c r="K1691" t="str">
        <f>B65</f>
        <v>S2</v>
      </c>
      <c r="N1691">
        <v>1.7813574E7</v>
      </c>
      <c r="O1691">
        <v>1.5701694E7</v>
      </c>
      <c r="P1691" t="s">
        <v>232</v>
      </c>
    </row>
    <row r="1692">
      <c r="J1692" s="79" t="s">
        <v>2067</v>
      </c>
      <c r="K1692" t="str">
        <f>B65</f>
        <v>S2</v>
      </c>
      <c r="N1692">
        <v>1.7816897E7</v>
      </c>
      <c r="O1692">
        <v>1.5705017E7</v>
      </c>
      <c r="P1692" t="s">
        <v>219</v>
      </c>
    </row>
    <row r="1693">
      <c r="J1693" s="79" t="s">
        <v>2068</v>
      </c>
      <c r="K1693" t="str">
        <f>B65</f>
        <v>S2</v>
      </c>
      <c r="N1693">
        <v>1.783125E7</v>
      </c>
      <c r="O1693">
        <v>1.571937E7</v>
      </c>
      <c r="P1693" t="s">
        <v>242</v>
      </c>
    </row>
    <row r="1694">
      <c r="J1694" s="79" t="s">
        <v>2069</v>
      </c>
      <c r="K1694" t="str">
        <f>B65</f>
        <v>S2</v>
      </c>
      <c r="N1694">
        <v>1.7847675E7</v>
      </c>
      <c r="O1694">
        <v>1.5735795E7</v>
      </c>
      <c r="P1694" t="s">
        <v>302</v>
      </c>
    </row>
    <row r="1695">
      <c r="J1695" s="79" t="s">
        <v>2070</v>
      </c>
      <c r="K1695" t="str">
        <f>B65</f>
        <v>S2</v>
      </c>
      <c r="N1695">
        <v>1.7877105E7</v>
      </c>
      <c r="O1695">
        <v>1.5765225E7</v>
      </c>
      <c r="P1695" t="s">
        <v>221</v>
      </c>
    </row>
    <row r="1696">
      <c r="J1696" s="79" t="s">
        <v>2071</v>
      </c>
      <c r="K1696" t="str">
        <f>B65</f>
        <v>S2</v>
      </c>
      <c r="N1696">
        <v>1.7879027E7</v>
      </c>
      <c r="O1696">
        <v>1.5767147E7</v>
      </c>
      <c r="P1696" t="s">
        <v>283</v>
      </c>
    </row>
    <row r="1697">
      <c r="J1697" s="79" t="s">
        <v>2072</v>
      </c>
      <c r="K1697" t="str">
        <f>B65</f>
        <v>S2</v>
      </c>
      <c r="N1697">
        <v>1.7883854E7</v>
      </c>
      <c r="O1697">
        <v>1.5771974E7</v>
      </c>
      <c r="P1697" t="s">
        <v>219</v>
      </c>
    </row>
    <row r="1698">
      <c r="J1698" s="79" t="s">
        <v>2073</v>
      </c>
      <c r="K1698" t="str">
        <f>B65</f>
        <v>S2</v>
      </c>
      <c r="N1698">
        <v>1.7883994E7</v>
      </c>
      <c r="O1698">
        <v>1.5772114E7</v>
      </c>
      <c r="P1698" t="s">
        <v>221</v>
      </c>
    </row>
    <row r="1699">
      <c r="J1699" s="79" t="s">
        <v>2074</v>
      </c>
      <c r="K1699" t="str">
        <f>B65</f>
        <v>S2</v>
      </c>
      <c r="N1699">
        <v>1.7887434E7</v>
      </c>
      <c r="O1699">
        <v>1.5775554E7</v>
      </c>
      <c r="P1699" t="s">
        <v>232</v>
      </c>
    </row>
    <row r="1700">
      <c r="J1700" s="79" t="s">
        <v>2075</v>
      </c>
      <c r="K1700" t="str">
        <f>B65</f>
        <v>S2</v>
      </c>
      <c r="N1700">
        <v>1.7888317E7</v>
      </c>
      <c r="O1700">
        <v>1.5776437E7</v>
      </c>
      <c r="P1700" t="s">
        <v>216</v>
      </c>
    </row>
    <row r="1701">
      <c r="J1701" s="79" t="s">
        <v>2076</v>
      </c>
      <c r="K1701" t="str">
        <f>B65</f>
        <v>S2</v>
      </c>
      <c r="N1701">
        <v>1.7895557E7</v>
      </c>
      <c r="O1701">
        <v>1.5783677E7</v>
      </c>
      <c r="P1701" t="s">
        <v>302</v>
      </c>
    </row>
    <row r="1702">
      <c r="J1702" s="79" t="s">
        <v>2077</v>
      </c>
      <c r="K1702" t="str">
        <f>B65</f>
        <v>S2</v>
      </c>
      <c r="N1702">
        <v>1.791406E7</v>
      </c>
      <c r="O1702">
        <v>1.580218E7</v>
      </c>
      <c r="P1702" t="s">
        <v>283</v>
      </c>
    </row>
    <row r="1703">
      <c r="J1703" s="79" t="s">
        <v>2078</v>
      </c>
      <c r="K1703" t="str">
        <f>B65</f>
        <v>S2</v>
      </c>
      <c r="N1703">
        <v>1.7935703E7</v>
      </c>
      <c r="O1703">
        <v>1.5823823E7</v>
      </c>
      <c r="P1703" t="s">
        <v>302</v>
      </c>
    </row>
    <row r="1704">
      <c r="J1704" s="79" t="s">
        <v>2079</v>
      </c>
      <c r="K1704" t="str">
        <f>B65</f>
        <v>S2</v>
      </c>
      <c r="N1704">
        <v>1.7947568E7</v>
      </c>
      <c r="O1704">
        <v>1.5835688E7</v>
      </c>
      <c r="P1704" t="s">
        <v>285</v>
      </c>
    </row>
    <row r="1705">
      <c r="J1705" s="79" t="s">
        <v>2080</v>
      </c>
      <c r="K1705" t="str">
        <f>B65</f>
        <v>S2</v>
      </c>
      <c r="N1705">
        <v>1.7959934E7</v>
      </c>
      <c r="O1705">
        <v>1.5848054E7</v>
      </c>
      <c r="P1705" t="s">
        <v>221</v>
      </c>
    </row>
    <row r="1706">
      <c r="J1706" s="79" t="s">
        <v>2081</v>
      </c>
      <c r="K1706" t="str">
        <f>B65</f>
        <v>S2</v>
      </c>
      <c r="N1706">
        <v>1.7968209E7</v>
      </c>
      <c r="O1706">
        <v>1.5856329E7</v>
      </c>
      <c r="P1706" t="s">
        <v>302</v>
      </c>
    </row>
    <row r="1707">
      <c r="J1707" s="79" t="s">
        <v>2082</v>
      </c>
      <c r="K1707" t="str">
        <f>B65</f>
        <v>S2</v>
      </c>
      <c r="N1707">
        <v>1.8035798E7</v>
      </c>
      <c r="O1707">
        <v>1.5923918E7</v>
      </c>
      <c r="P1707" t="s">
        <v>221</v>
      </c>
    </row>
    <row r="1708">
      <c r="J1708" s="79" t="s">
        <v>2083</v>
      </c>
      <c r="K1708" t="str">
        <f>B65</f>
        <v>S2</v>
      </c>
      <c r="N1708">
        <v>1.8057581E7</v>
      </c>
      <c r="O1708">
        <v>1.5945701E7</v>
      </c>
      <c r="P1708" t="s">
        <v>302</v>
      </c>
    </row>
    <row r="1709">
      <c r="J1709" s="79" t="s">
        <v>2084</v>
      </c>
      <c r="K1709" t="str">
        <f>B65</f>
        <v>S2</v>
      </c>
      <c r="N1709">
        <v>1.8066988E7</v>
      </c>
      <c r="O1709">
        <v>1.5955108E7</v>
      </c>
      <c r="P1709" t="s">
        <v>221</v>
      </c>
    </row>
    <row r="1710">
      <c r="J1710" s="79" t="s">
        <v>2085</v>
      </c>
      <c r="K1710" s="79" t="str">
        <f>B65</f>
        <v>S2</v>
      </c>
      <c r="N1710">
        <v>1.807251E7</v>
      </c>
      <c r="O1710">
        <v>1.596063E7</v>
      </c>
      <c r="P1710" t="s">
        <v>302</v>
      </c>
    </row>
    <row r="1711">
      <c r="J1711" s="79" t="s">
        <v>2086</v>
      </c>
      <c r="K1711" t="str">
        <f>B65</f>
        <v>S2</v>
      </c>
      <c r="N1711">
        <v>1.8086649E7</v>
      </c>
      <c r="O1711">
        <v>1.5974769E7</v>
      </c>
      <c r="P1711" t="s">
        <v>219</v>
      </c>
    </row>
    <row r="1712">
      <c r="J1712" s="79" t="s">
        <v>2087</v>
      </c>
      <c r="K1712" t="str">
        <f>B65</f>
        <v>S2</v>
      </c>
      <c r="N1712">
        <v>1.8087338E7</v>
      </c>
      <c r="O1712">
        <v>1.5975458E7</v>
      </c>
      <c r="P1712" t="s">
        <v>221</v>
      </c>
    </row>
    <row r="1713">
      <c r="J1713" s="79" t="s">
        <v>2088</v>
      </c>
      <c r="K1713" t="str">
        <f>B65</f>
        <v>S2</v>
      </c>
      <c r="N1713">
        <v>1.8103247E7</v>
      </c>
      <c r="O1713">
        <v>1.5991367E7</v>
      </c>
      <c r="P1713" t="s">
        <v>283</v>
      </c>
    </row>
    <row r="1714">
      <c r="J1714" s="79" t="s">
        <v>2089</v>
      </c>
      <c r="K1714" t="str">
        <f>B65</f>
        <v>S2</v>
      </c>
      <c r="N1714">
        <v>1.8173456E7</v>
      </c>
      <c r="O1714">
        <v>1.6061576E7</v>
      </c>
      <c r="P1714" t="s">
        <v>229</v>
      </c>
    </row>
    <row r="1715">
      <c r="J1715" s="79" t="s">
        <v>2090</v>
      </c>
      <c r="K1715" t="str">
        <f>B65</f>
        <v>S2</v>
      </c>
      <c r="N1715">
        <v>1.8215421E7</v>
      </c>
      <c r="O1715">
        <v>1.6103541E7</v>
      </c>
      <c r="P1715" t="s">
        <v>232</v>
      </c>
    </row>
    <row r="1716">
      <c r="J1716" s="79" t="s">
        <v>2091</v>
      </c>
      <c r="K1716" t="str">
        <f>B65</f>
        <v>S2</v>
      </c>
      <c r="N1716">
        <v>1.8217351E7</v>
      </c>
      <c r="O1716">
        <v>1.6105471E7</v>
      </c>
      <c r="P1716" t="s">
        <v>221</v>
      </c>
    </row>
    <row r="1717">
      <c r="J1717" s="79" t="s">
        <v>2092</v>
      </c>
      <c r="K1717" t="str">
        <f>B65</f>
        <v>S2</v>
      </c>
      <c r="N1717">
        <v>1.8549177E7</v>
      </c>
      <c r="O1717">
        <v>1.6437297E7</v>
      </c>
      <c r="P1717" t="s">
        <v>221</v>
      </c>
    </row>
    <row r="1718">
      <c r="J1718" s="79" t="s">
        <v>2093</v>
      </c>
      <c r="K1718" s="79" t="str">
        <f>B65</f>
        <v>S2</v>
      </c>
      <c r="N1718">
        <v>1.8573265E7</v>
      </c>
      <c r="O1718">
        <v>1.6461385E7</v>
      </c>
      <c r="P1718" t="s">
        <v>302</v>
      </c>
    </row>
    <row r="1719">
      <c r="J1719" s="79" t="s">
        <v>2094</v>
      </c>
      <c r="K1719" t="str">
        <f>B65</f>
        <v>S2</v>
      </c>
      <c r="N1719">
        <v>1.8580692E7</v>
      </c>
      <c r="O1719">
        <v>1.6468812E7</v>
      </c>
      <c r="P1719" t="s">
        <v>219</v>
      </c>
    </row>
    <row r="1720">
      <c r="J1720" s="79" t="s">
        <v>2095</v>
      </c>
      <c r="K1720" t="str">
        <f>B65</f>
        <v>S2</v>
      </c>
      <c r="N1720">
        <v>1.859557E7</v>
      </c>
      <c r="O1720">
        <v>1.648369E7</v>
      </c>
      <c r="P1720" t="s">
        <v>221</v>
      </c>
    </row>
    <row r="1721">
      <c r="J1721" s="79" t="s">
        <v>2096</v>
      </c>
      <c r="K1721" t="str">
        <f>B65</f>
        <v>S2</v>
      </c>
      <c r="N1721">
        <v>1.8609556E7</v>
      </c>
      <c r="O1721">
        <v>1.6497676E7</v>
      </c>
      <c r="P1721" t="s">
        <v>221</v>
      </c>
    </row>
    <row r="1722">
      <c r="J1722" s="79" t="s">
        <v>2097</v>
      </c>
      <c r="K1722" t="str">
        <f>B65</f>
        <v>S2</v>
      </c>
      <c r="N1722">
        <v>1.862707E7</v>
      </c>
      <c r="O1722">
        <v>1.651519E7</v>
      </c>
      <c r="P1722" t="s">
        <v>235</v>
      </c>
    </row>
    <row r="1723">
      <c r="J1723" s="79" t="s">
        <v>2098</v>
      </c>
      <c r="K1723" t="str">
        <f>B65</f>
        <v>S2</v>
      </c>
      <c r="N1723">
        <v>1.8638571E7</v>
      </c>
      <c r="O1723">
        <v>1.6526691E7</v>
      </c>
      <c r="P1723" t="s">
        <v>229</v>
      </c>
    </row>
    <row r="1724">
      <c r="J1724" s="79" t="s">
        <v>2099</v>
      </c>
      <c r="K1724" t="str">
        <f>B65</f>
        <v>S2</v>
      </c>
      <c r="N1724">
        <v>1.8680842E7</v>
      </c>
      <c r="O1724">
        <v>1.6568962E7</v>
      </c>
      <c r="P1724" t="s">
        <v>221</v>
      </c>
    </row>
    <row r="1725">
      <c r="J1725" s="79" t="s">
        <v>2100</v>
      </c>
      <c r="K1725" t="str">
        <f>B65</f>
        <v>S2</v>
      </c>
      <c r="N1725">
        <v>1.8683465E7</v>
      </c>
      <c r="O1725">
        <v>1.6571585E7</v>
      </c>
      <c r="P1725" t="s">
        <v>232</v>
      </c>
    </row>
    <row r="1726">
      <c r="J1726" s="79" t="s">
        <v>2101</v>
      </c>
      <c r="K1726" t="str">
        <f>B65</f>
        <v>S2</v>
      </c>
      <c r="N1726">
        <v>1.8776412E7</v>
      </c>
      <c r="O1726">
        <v>1.6664532E7</v>
      </c>
      <c r="P1726" t="s">
        <v>219</v>
      </c>
    </row>
    <row r="1727">
      <c r="J1727" s="79" t="s">
        <v>2102</v>
      </c>
      <c r="K1727" t="str">
        <f>B65</f>
        <v>S2</v>
      </c>
      <c r="N1727">
        <v>1.8784593E7</v>
      </c>
      <c r="O1727">
        <v>1.6672713E7</v>
      </c>
      <c r="P1727" t="s">
        <v>283</v>
      </c>
    </row>
    <row r="1728">
      <c r="J1728" s="79" t="s">
        <v>2103</v>
      </c>
      <c r="K1728" t="str">
        <f>B65</f>
        <v>S2</v>
      </c>
      <c r="N1728">
        <v>1.8786336E7</v>
      </c>
      <c r="O1728">
        <v>1.6674456E7</v>
      </c>
      <c r="P1728" t="s">
        <v>221</v>
      </c>
    </row>
    <row r="1729">
      <c r="J1729" s="79" t="s">
        <v>2104</v>
      </c>
      <c r="K1729" t="str">
        <f>B65</f>
        <v>S2</v>
      </c>
      <c r="N1729">
        <v>1.8795103E7</v>
      </c>
      <c r="O1729">
        <v>1.6683223E7</v>
      </c>
      <c r="P1729" t="s">
        <v>221</v>
      </c>
    </row>
    <row r="1730">
      <c r="J1730" s="79" t="s">
        <v>2105</v>
      </c>
      <c r="K1730" t="str">
        <f>B65</f>
        <v>S2</v>
      </c>
      <c r="N1730">
        <v>1.8816129E7</v>
      </c>
      <c r="O1730">
        <v>1.6704249E7</v>
      </c>
      <c r="P1730" t="s">
        <v>232</v>
      </c>
    </row>
    <row r="1731">
      <c r="J1731" s="79" t="s">
        <v>2106</v>
      </c>
      <c r="K1731" t="str">
        <f>B65</f>
        <v>S2</v>
      </c>
      <c r="N1731">
        <v>1.8866191E7</v>
      </c>
      <c r="O1731">
        <v>1.6754311E7</v>
      </c>
      <c r="P1731" t="s">
        <v>219</v>
      </c>
    </row>
    <row r="1732">
      <c r="J1732" s="79" t="s">
        <v>2107</v>
      </c>
      <c r="K1732" t="str">
        <f>B65</f>
        <v>S2</v>
      </c>
      <c r="N1732">
        <v>1.8895183E7</v>
      </c>
      <c r="O1732">
        <v>1.6783303E7</v>
      </c>
      <c r="P1732" t="s">
        <v>302</v>
      </c>
    </row>
    <row r="1733">
      <c r="J1733" s="79" t="s">
        <v>2108</v>
      </c>
      <c r="K1733" t="str">
        <f>B65</f>
        <v>S2</v>
      </c>
      <c r="N1733">
        <v>1.8900778E7</v>
      </c>
      <c r="O1733">
        <v>1.6788898E7</v>
      </c>
      <c r="P1733" t="s">
        <v>219</v>
      </c>
    </row>
    <row r="1734">
      <c r="J1734" s="79" t="s">
        <v>2109</v>
      </c>
      <c r="K1734" t="str">
        <f>B65</f>
        <v>S2</v>
      </c>
      <c r="M1734" s="79" t="s">
        <v>2110</v>
      </c>
      <c r="N1734">
        <v>1.8979316E7</v>
      </c>
      <c r="O1734">
        <v>1.6867436E7</v>
      </c>
      <c r="P1734" t="s">
        <v>232</v>
      </c>
    </row>
    <row r="1735">
      <c r="J1735" s="79" t="s">
        <v>2111</v>
      </c>
      <c r="K1735" t="str">
        <f>B65</f>
        <v>S2</v>
      </c>
      <c r="N1735">
        <v>1.8982426E7</v>
      </c>
      <c r="O1735">
        <v>1.6870546E7</v>
      </c>
      <c r="P1735" t="s">
        <v>232</v>
      </c>
    </row>
    <row r="1736">
      <c r="J1736" s="79" t="s">
        <v>2112</v>
      </c>
      <c r="K1736" t="str">
        <f>B65</f>
        <v>S2</v>
      </c>
      <c r="N1736">
        <v>1.9010672E7</v>
      </c>
      <c r="O1736">
        <v>1.6898792E7</v>
      </c>
      <c r="P1736" t="s">
        <v>216</v>
      </c>
    </row>
    <row r="1737">
      <c r="J1737" s="79" t="s">
        <v>2113</v>
      </c>
      <c r="K1737" t="str">
        <f>B65</f>
        <v>S2</v>
      </c>
      <c r="N1737">
        <v>1.9111113E7</v>
      </c>
      <c r="O1737">
        <v>1.6999233E7</v>
      </c>
      <c r="P1737" t="s">
        <v>302</v>
      </c>
    </row>
    <row r="1738">
      <c r="J1738" s="79" t="s">
        <v>2114</v>
      </c>
      <c r="K1738" t="str">
        <f>B65</f>
        <v>S2</v>
      </c>
      <c r="N1738">
        <v>1.914416E7</v>
      </c>
      <c r="O1738">
        <v>1.703228E7</v>
      </c>
      <c r="P1738" t="s">
        <v>235</v>
      </c>
    </row>
    <row r="1739">
      <c r="J1739" s="79" t="s">
        <v>2115</v>
      </c>
      <c r="K1739" t="str">
        <f>B65</f>
        <v>S2</v>
      </c>
      <c r="N1739">
        <v>1.9192754E7</v>
      </c>
      <c r="O1739">
        <v>1.7080874E7</v>
      </c>
      <c r="P1739" t="s">
        <v>229</v>
      </c>
    </row>
    <row r="1740">
      <c r="J1740" s="79" t="s">
        <v>2116</v>
      </c>
      <c r="K1740" t="str">
        <f>B65</f>
        <v>S2</v>
      </c>
      <c r="N1740">
        <v>1.9229926E7</v>
      </c>
      <c r="O1740">
        <v>1.7118046E7</v>
      </c>
      <c r="P1740" t="s">
        <v>229</v>
      </c>
    </row>
    <row r="1741">
      <c r="J1741" s="79" t="s">
        <v>2117</v>
      </c>
      <c r="K1741" t="str">
        <f>B65</f>
        <v>S2</v>
      </c>
      <c r="N1741">
        <v>1.9235235E7</v>
      </c>
      <c r="O1741">
        <v>1.7123355E7</v>
      </c>
      <c r="P1741" t="s">
        <v>216</v>
      </c>
    </row>
    <row r="1742">
      <c r="J1742" s="79" t="s">
        <v>2118</v>
      </c>
      <c r="K1742" t="str">
        <f>B65</f>
        <v>S2</v>
      </c>
      <c r="M1742" s="79" t="s">
        <v>2119</v>
      </c>
      <c r="N1742">
        <v>1.9295542E7</v>
      </c>
      <c r="O1742">
        <v>1.7183662E7</v>
      </c>
      <c r="P1742" t="s">
        <v>232</v>
      </c>
    </row>
    <row r="1743">
      <c r="J1743" s="79" t="s">
        <v>2120</v>
      </c>
      <c r="K1743" t="str">
        <f>B65</f>
        <v>S2</v>
      </c>
      <c r="N1743">
        <v>1.9331032E7</v>
      </c>
      <c r="O1743">
        <v>1.7219152E7</v>
      </c>
      <c r="P1743" t="s">
        <v>219</v>
      </c>
    </row>
    <row r="1744">
      <c r="J1744" s="79" t="s">
        <v>2121</v>
      </c>
      <c r="K1744" t="str">
        <f>B65</f>
        <v>S2</v>
      </c>
      <c r="N1744">
        <v>1.9358001E7</v>
      </c>
      <c r="O1744">
        <v>1.7246121E7</v>
      </c>
      <c r="P1744" t="s">
        <v>302</v>
      </c>
    </row>
    <row r="1745">
      <c r="J1745" s="79" t="s">
        <v>2122</v>
      </c>
      <c r="K1745" t="str">
        <f>B65</f>
        <v>S2</v>
      </c>
      <c r="N1745">
        <v>1.9448095E7</v>
      </c>
      <c r="O1745">
        <v>1.7336215E7</v>
      </c>
      <c r="P1745" t="s">
        <v>285</v>
      </c>
    </row>
    <row r="1746">
      <c r="J1746" s="79" t="s">
        <v>2123</v>
      </c>
      <c r="K1746" t="str">
        <f>B65</f>
        <v>S2</v>
      </c>
      <c r="N1746">
        <v>1.9453354E7</v>
      </c>
      <c r="O1746">
        <v>1.7341474E7</v>
      </c>
      <c r="P1746" t="s">
        <v>219</v>
      </c>
    </row>
    <row r="1747">
      <c r="J1747" s="79" t="s">
        <v>2124</v>
      </c>
      <c r="K1747" t="str">
        <f>B65</f>
        <v>S2</v>
      </c>
      <c r="N1747">
        <v>1.9525771E7</v>
      </c>
      <c r="O1747">
        <v>1.7413891E7</v>
      </c>
      <c r="P1747" t="s">
        <v>216</v>
      </c>
    </row>
    <row r="1748">
      <c r="J1748" s="79" t="s">
        <v>2125</v>
      </c>
      <c r="K1748" t="str">
        <f>B65</f>
        <v>S2</v>
      </c>
      <c r="N1748">
        <v>2.1084288E7</v>
      </c>
      <c r="O1748">
        <v>1.8922402E7</v>
      </c>
      <c r="P1748" t="s">
        <v>302</v>
      </c>
    </row>
    <row r="1749">
      <c r="J1749" s="79" t="s">
        <v>2126</v>
      </c>
      <c r="K1749" t="str">
        <f>B65</f>
        <v>S2</v>
      </c>
      <c r="N1749">
        <v>2.1095339E7</v>
      </c>
      <c r="O1749">
        <v>1.8933453E7</v>
      </c>
      <c r="P1749" t="s">
        <v>221</v>
      </c>
    </row>
    <row r="1750">
      <c r="J1750" s="79" t="s">
        <v>2127</v>
      </c>
      <c r="K1750" t="str">
        <f>B65</f>
        <v>S2</v>
      </c>
      <c r="N1750">
        <v>2.1116122E7</v>
      </c>
      <c r="O1750">
        <v>1.8954236E7</v>
      </c>
      <c r="P1750" t="s">
        <v>255</v>
      </c>
    </row>
    <row r="1751">
      <c r="J1751" s="79" t="s">
        <v>2128</v>
      </c>
      <c r="K1751" t="str">
        <f>B65</f>
        <v>S2</v>
      </c>
      <c r="N1751">
        <v>2.1128146E7</v>
      </c>
      <c r="O1751">
        <v>1.896626E7</v>
      </c>
      <c r="P1751" t="s">
        <v>232</v>
      </c>
    </row>
    <row r="1752">
      <c r="J1752" s="79" t="s">
        <v>2129</v>
      </c>
      <c r="K1752" t="str">
        <f>B65</f>
        <v>S2</v>
      </c>
      <c r="N1752">
        <v>2.123052E7</v>
      </c>
      <c r="O1752">
        <v>1.9068634E7</v>
      </c>
      <c r="P1752" t="s">
        <v>219</v>
      </c>
    </row>
    <row r="1753">
      <c r="J1753" s="79" t="s">
        <v>2130</v>
      </c>
      <c r="K1753" t="str">
        <f>B65</f>
        <v>S2</v>
      </c>
      <c r="N1753">
        <v>2.1287065E7</v>
      </c>
      <c r="O1753">
        <v>1.9125179E7</v>
      </c>
      <c r="P1753" t="s">
        <v>232</v>
      </c>
    </row>
    <row r="1754">
      <c r="J1754" s="79" t="s">
        <v>2131</v>
      </c>
      <c r="K1754" t="str">
        <f>B65</f>
        <v>S2</v>
      </c>
      <c r="N1754">
        <v>2.1315426E7</v>
      </c>
      <c r="O1754">
        <v>1.915354E7</v>
      </c>
      <c r="P1754" t="s">
        <v>232</v>
      </c>
    </row>
    <row r="1755">
      <c r="J1755" s="79" t="s">
        <v>2132</v>
      </c>
      <c r="K1755" t="str">
        <f>B65</f>
        <v>S2</v>
      </c>
      <c r="N1755">
        <v>2.1342162E7</v>
      </c>
      <c r="O1755">
        <v>1.9180276E7</v>
      </c>
      <c r="P1755" t="s">
        <v>232</v>
      </c>
    </row>
    <row r="1756">
      <c r="J1756" s="79" t="s">
        <v>2133</v>
      </c>
      <c r="K1756" t="str">
        <f>B65</f>
        <v>S2</v>
      </c>
      <c r="N1756">
        <v>2.1342339E7</v>
      </c>
      <c r="O1756">
        <v>1.9180453E7</v>
      </c>
      <c r="P1756" t="s">
        <v>235</v>
      </c>
    </row>
    <row r="1757">
      <c r="J1757" s="79" t="s">
        <v>2134</v>
      </c>
      <c r="K1757" t="str">
        <f>B65</f>
        <v>S2</v>
      </c>
      <c r="N1757">
        <v>2.135013E7</v>
      </c>
      <c r="O1757">
        <v>1.9188244E7</v>
      </c>
      <c r="P1757" t="s">
        <v>221</v>
      </c>
    </row>
    <row r="1758">
      <c r="J1758" s="79" t="s">
        <v>2135</v>
      </c>
      <c r="K1758" t="str">
        <f>B65</f>
        <v>S2</v>
      </c>
      <c r="N1758">
        <v>2.1361839E7</v>
      </c>
      <c r="O1758">
        <v>1.9199953E7</v>
      </c>
      <c r="P1758" t="s">
        <v>219</v>
      </c>
    </row>
    <row r="1759">
      <c r="J1759" s="79" t="s">
        <v>2136</v>
      </c>
      <c r="K1759" t="str">
        <f>B65</f>
        <v>S2</v>
      </c>
      <c r="N1759">
        <v>2.1390974E7</v>
      </c>
      <c r="O1759">
        <v>1.9229088E7</v>
      </c>
      <c r="P1759" t="s">
        <v>229</v>
      </c>
    </row>
    <row r="1760">
      <c r="J1760" s="79" t="s">
        <v>2137</v>
      </c>
      <c r="K1760" t="str">
        <f>B65</f>
        <v>S2</v>
      </c>
      <c r="N1760">
        <v>2.1410644E7</v>
      </c>
      <c r="O1760">
        <v>1.9248758E7</v>
      </c>
      <c r="P1760" t="s">
        <v>221</v>
      </c>
    </row>
    <row r="1761">
      <c r="J1761" s="79" t="s">
        <v>2138</v>
      </c>
      <c r="K1761" t="str">
        <f>B65</f>
        <v>S2</v>
      </c>
      <c r="N1761">
        <v>2.1473819E7</v>
      </c>
      <c r="O1761">
        <v>1.9311933E7</v>
      </c>
      <c r="P1761" t="s">
        <v>302</v>
      </c>
    </row>
    <row r="1762">
      <c r="J1762" s="79" t="s">
        <v>2139</v>
      </c>
      <c r="K1762" t="str">
        <f>B65</f>
        <v>S2</v>
      </c>
      <c r="N1762">
        <v>2.1488661E7</v>
      </c>
      <c r="O1762">
        <v>1.9326775E7</v>
      </c>
      <c r="P1762" t="s">
        <v>302</v>
      </c>
    </row>
    <row r="1763">
      <c r="J1763" s="79" t="s">
        <v>2140</v>
      </c>
      <c r="K1763" t="str">
        <f>B65</f>
        <v>S2</v>
      </c>
      <c r="N1763">
        <v>2.149453E7</v>
      </c>
      <c r="O1763">
        <v>1.9332644E7</v>
      </c>
      <c r="P1763" t="s">
        <v>229</v>
      </c>
    </row>
    <row r="1764">
      <c r="J1764" s="79" t="s">
        <v>2141</v>
      </c>
      <c r="K1764" t="str">
        <f>B65</f>
        <v>S2</v>
      </c>
      <c r="N1764">
        <v>2.1500508E7</v>
      </c>
      <c r="O1764">
        <v>1.9338622E7</v>
      </c>
      <c r="P1764" t="s">
        <v>302</v>
      </c>
    </row>
    <row r="1765">
      <c r="J1765" s="79" t="s">
        <v>2142</v>
      </c>
      <c r="K1765" t="str">
        <f>B65</f>
        <v>S2</v>
      </c>
      <c r="N1765">
        <v>2.1518256E7</v>
      </c>
      <c r="O1765">
        <v>1.935637E7</v>
      </c>
      <c r="P1765" t="s">
        <v>216</v>
      </c>
    </row>
    <row r="1766">
      <c r="J1766" s="79" t="s">
        <v>2143</v>
      </c>
      <c r="K1766" t="str">
        <f>B65</f>
        <v>S2</v>
      </c>
      <c r="N1766">
        <v>2.1590887E7</v>
      </c>
      <c r="O1766">
        <v>1.9429001E7</v>
      </c>
      <c r="P1766" t="s">
        <v>242</v>
      </c>
    </row>
    <row r="1767">
      <c r="J1767" s="79" t="s">
        <v>2144</v>
      </c>
      <c r="K1767" t="str">
        <f>B65</f>
        <v>S2</v>
      </c>
      <c r="N1767">
        <v>2.1591198E7</v>
      </c>
      <c r="O1767">
        <v>1.9429312E7</v>
      </c>
      <c r="P1767" t="s">
        <v>232</v>
      </c>
    </row>
    <row r="1768">
      <c r="J1768" s="79" t="s">
        <v>2145</v>
      </c>
      <c r="K1768" t="str">
        <f>B65</f>
        <v>S2</v>
      </c>
      <c r="N1768">
        <v>2.1637907E7</v>
      </c>
      <c r="O1768">
        <v>1.9476021E7</v>
      </c>
      <c r="P1768" t="s">
        <v>219</v>
      </c>
    </row>
    <row r="1769">
      <c r="J1769" s="79" t="s">
        <v>2146</v>
      </c>
      <c r="K1769" t="str">
        <f>B65</f>
        <v>S2</v>
      </c>
      <c r="N1769">
        <v>2.1687575E7</v>
      </c>
      <c r="O1769">
        <v>1.9525689E7</v>
      </c>
      <c r="P1769" t="s">
        <v>232</v>
      </c>
    </row>
    <row r="1770">
      <c r="J1770" s="79" t="s">
        <v>2147</v>
      </c>
      <c r="K1770" t="str">
        <f>B65</f>
        <v>S2</v>
      </c>
      <c r="N1770">
        <v>2.1693205E7</v>
      </c>
      <c r="O1770">
        <v>1.9531319E7</v>
      </c>
      <c r="P1770" t="s">
        <v>219</v>
      </c>
    </row>
    <row r="1771">
      <c r="J1771" s="79" t="s">
        <v>2148</v>
      </c>
      <c r="K1771" t="str">
        <f>B65</f>
        <v>S2</v>
      </c>
      <c r="N1771">
        <v>2.1782744E7</v>
      </c>
      <c r="O1771">
        <v>1.9620858E7</v>
      </c>
      <c r="P1771" t="s">
        <v>224</v>
      </c>
    </row>
    <row r="1772">
      <c r="J1772" s="79" t="s">
        <v>2123</v>
      </c>
      <c r="K1772" t="str">
        <f>B65</f>
        <v>S2</v>
      </c>
      <c r="N1772">
        <v>2.1803679E7</v>
      </c>
      <c r="O1772">
        <v>1.9641793E7</v>
      </c>
      <c r="P1772" t="s">
        <v>255</v>
      </c>
    </row>
    <row r="1773">
      <c r="J1773" s="79" t="s">
        <v>2149</v>
      </c>
      <c r="K1773" t="str">
        <f>B65</f>
        <v>S2</v>
      </c>
      <c r="N1773">
        <v>2.1812141E7</v>
      </c>
      <c r="O1773">
        <v>1.9650255E7</v>
      </c>
      <c r="P1773" t="s">
        <v>229</v>
      </c>
    </row>
    <row r="1774">
      <c r="J1774" s="79" t="s">
        <v>2150</v>
      </c>
      <c r="K1774" t="str">
        <f>B65</f>
        <v>S2</v>
      </c>
      <c r="N1774">
        <v>2.1815388E7</v>
      </c>
      <c r="O1774">
        <v>1.9653502E7</v>
      </c>
      <c r="P1774" t="s">
        <v>283</v>
      </c>
    </row>
    <row r="1775">
      <c r="J1775" s="79" t="s">
        <v>2151</v>
      </c>
      <c r="K1775" t="str">
        <f>B65</f>
        <v>S2</v>
      </c>
      <c r="N1775">
        <v>2.1825295E7</v>
      </c>
      <c r="O1775">
        <v>1.9663409E7</v>
      </c>
      <c r="P1775" t="s">
        <v>235</v>
      </c>
    </row>
    <row r="1776">
      <c r="J1776" s="79" t="s">
        <v>2152</v>
      </c>
      <c r="K1776" t="str">
        <f>B65</f>
        <v>S2</v>
      </c>
      <c r="N1776">
        <v>2.1851207E7</v>
      </c>
      <c r="O1776">
        <v>1.9689321E7</v>
      </c>
      <c r="P1776" t="s">
        <v>221</v>
      </c>
    </row>
    <row r="1777">
      <c r="J1777" s="79" t="s">
        <v>2153</v>
      </c>
      <c r="K1777" t="str">
        <f>B65</f>
        <v>S2</v>
      </c>
      <c r="N1777">
        <v>2.1865476E7</v>
      </c>
      <c r="O1777">
        <v>1.970359E7</v>
      </c>
      <c r="P1777" t="s">
        <v>302</v>
      </c>
    </row>
    <row r="1778">
      <c r="J1778" s="79" t="s">
        <v>2154</v>
      </c>
      <c r="K1778" t="str">
        <f>B65</f>
        <v>S2</v>
      </c>
      <c r="N1778">
        <v>2.1919229E7</v>
      </c>
      <c r="O1778">
        <v>1.9757343E7</v>
      </c>
      <c r="P1778" t="s">
        <v>302</v>
      </c>
    </row>
    <row r="1779">
      <c r="J1779" s="79" t="s">
        <v>2155</v>
      </c>
      <c r="K1779" t="str">
        <f>B65</f>
        <v>S2</v>
      </c>
      <c r="N1779">
        <v>2.1924477E7</v>
      </c>
      <c r="O1779">
        <v>1.9762591E7</v>
      </c>
      <c r="P1779" t="s">
        <v>229</v>
      </c>
    </row>
    <row r="1780">
      <c r="J1780" s="79" t="s">
        <v>2156</v>
      </c>
      <c r="K1780" t="str">
        <f>B65</f>
        <v>S2</v>
      </c>
      <c r="N1780">
        <v>2.1953478E7</v>
      </c>
      <c r="O1780">
        <v>1.9791592E7</v>
      </c>
      <c r="P1780" t="s">
        <v>216</v>
      </c>
    </row>
    <row r="1781">
      <c r="J1781" s="79" t="s">
        <v>2157</v>
      </c>
      <c r="K1781" t="str">
        <f>B65</f>
        <v>S2</v>
      </c>
      <c r="N1781">
        <v>2.1959611E7</v>
      </c>
      <c r="O1781">
        <v>1.9797725E7</v>
      </c>
      <c r="P1781" t="s">
        <v>232</v>
      </c>
    </row>
    <row r="1782">
      <c r="J1782" s="79" t="s">
        <v>2158</v>
      </c>
      <c r="K1782" t="str">
        <f>B65</f>
        <v>S2</v>
      </c>
      <c r="N1782">
        <v>2.1990055E7</v>
      </c>
      <c r="O1782">
        <v>1.9828169E7</v>
      </c>
      <c r="P1782" t="s">
        <v>302</v>
      </c>
    </row>
    <row r="1783">
      <c r="J1783" s="79" t="s">
        <v>2159</v>
      </c>
      <c r="K1783" t="str">
        <f>B65</f>
        <v>S2</v>
      </c>
      <c r="N1783">
        <v>2.2009407E7</v>
      </c>
      <c r="O1783">
        <v>1.9847521E7</v>
      </c>
      <c r="P1783" t="s">
        <v>216</v>
      </c>
    </row>
    <row r="1784">
      <c r="J1784" s="79" t="s">
        <v>2160</v>
      </c>
      <c r="K1784" t="str">
        <f>B65</f>
        <v>S2</v>
      </c>
      <c r="N1784">
        <v>2.2028201E7</v>
      </c>
      <c r="O1784">
        <v>1.9866315E7</v>
      </c>
      <c r="P1784" t="s">
        <v>221</v>
      </c>
    </row>
    <row r="1785">
      <c r="J1785" s="79" t="s">
        <v>2161</v>
      </c>
      <c r="K1785" t="str">
        <f>B65</f>
        <v>S2</v>
      </c>
      <c r="N1785">
        <v>2.2060822E7</v>
      </c>
      <c r="O1785">
        <v>1.9898936E7</v>
      </c>
      <c r="P1785" t="s">
        <v>221</v>
      </c>
    </row>
    <row r="1786">
      <c r="J1786" s="79" t="s">
        <v>2162</v>
      </c>
      <c r="K1786" t="str">
        <f>B65</f>
        <v>S2</v>
      </c>
      <c r="N1786">
        <v>2.2065923E7</v>
      </c>
      <c r="O1786">
        <v>1.9904037E7</v>
      </c>
      <c r="P1786" t="s">
        <v>242</v>
      </c>
    </row>
    <row r="1787">
      <c r="J1787" s="79" t="s">
        <v>2163</v>
      </c>
      <c r="K1787" t="str">
        <f>B65</f>
        <v>S2</v>
      </c>
      <c r="N1787">
        <v>2.2124073E7</v>
      </c>
      <c r="O1787">
        <v>1.9962187E7</v>
      </c>
      <c r="P1787" t="s">
        <v>302</v>
      </c>
    </row>
    <row r="1788">
      <c r="J1788" s="79" t="s">
        <v>2164</v>
      </c>
      <c r="K1788" t="str">
        <f>B65</f>
        <v>S2</v>
      </c>
      <c r="N1788">
        <v>2.2141327E7</v>
      </c>
      <c r="O1788">
        <v>1.9979441E7</v>
      </c>
      <c r="P1788" t="s">
        <v>242</v>
      </c>
    </row>
    <row r="1789">
      <c r="J1789" s="79" t="s">
        <v>2165</v>
      </c>
      <c r="K1789" t="str">
        <f>B65</f>
        <v>S2</v>
      </c>
      <c r="N1789">
        <v>2.216755E7</v>
      </c>
      <c r="O1789">
        <v>2.0005664E7</v>
      </c>
      <c r="P1789" t="s">
        <v>224</v>
      </c>
    </row>
    <row r="1790">
      <c r="J1790" s="79" t="s">
        <v>2166</v>
      </c>
      <c r="K1790" t="str">
        <f>B65</f>
        <v>S2</v>
      </c>
      <c r="N1790">
        <v>2.2169474E7</v>
      </c>
      <c r="O1790">
        <v>2.0007588E7</v>
      </c>
      <c r="P1790" t="s">
        <v>242</v>
      </c>
    </row>
    <row r="1791">
      <c r="J1791" s="79" t="s">
        <v>2167</v>
      </c>
      <c r="K1791" t="str">
        <f>B65</f>
        <v>S2</v>
      </c>
      <c r="N1791">
        <v>2.2179736E7</v>
      </c>
      <c r="O1791">
        <v>2.001785E7</v>
      </c>
      <c r="P1791" t="s">
        <v>224</v>
      </c>
    </row>
    <row r="1792">
      <c r="J1792" s="79" t="s">
        <v>2168</v>
      </c>
      <c r="K1792" t="str">
        <f>B65</f>
        <v>S2</v>
      </c>
      <c r="N1792">
        <v>2.2514831E7</v>
      </c>
      <c r="O1792">
        <v>2.0352945E7</v>
      </c>
      <c r="P1792" t="s">
        <v>242</v>
      </c>
    </row>
    <row r="1793">
      <c r="J1793" s="79" t="s">
        <v>2169</v>
      </c>
      <c r="K1793" t="str">
        <f>B65</f>
        <v>S2</v>
      </c>
      <c r="N1793">
        <v>2.2603457E7</v>
      </c>
      <c r="O1793">
        <v>2.0441571E7</v>
      </c>
      <c r="P1793" t="s">
        <v>302</v>
      </c>
    </row>
    <row r="1794">
      <c r="J1794" s="79" t="s">
        <v>2170</v>
      </c>
      <c r="K1794" t="str">
        <f>B65</f>
        <v>S2</v>
      </c>
      <c r="N1794">
        <v>2.2630274E7</v>
      </c>
      <c r="O1794">
        <v>2.0468388E7</v>
      </c>
      <c r="P1794" t="s">
        <v>221</v>
      </c>
    </row>
    <row r="1795">
      <c r="J1795" s="79" t="s">
        <v>2171</v>
      </c>
      <c r="K1795" t="str">
        <f>B65</f>
        <v>S2</v>
      </c>
      <c r="N1795">
        <v>2.2640994E7</v>
      </c>
      <c r="O1795">
        <v>2.0479108E7</v>
      </c>
      <c r="P1795" t="s">
        <v>232</v>
      </c>
    </row>
    <row r="1796">
      <c r="J1796" s="79" t="s">
        <v>2172</v>
      </c>
      <c r="K1796" t="str">
        <f>B65</f>
        <v>S2</v>
      </c>
      <c r="N1796">
        <v>2.2651715E7</v>
      </c>
      <c r="O1796">
        <v>2.0489829E7</v>
      </c>
      <c r="P1796" t="s">
        <v>232</v>
      </c>
    </row>
    <row r="1797">
      <c r="J1797" s="79" t="s">
        <v>2173</v>
      </c>
      <c r="K1797" t="str">
        <f>B65</f>
        <v>S2</v>
      </c>
      <c r="N1797">
        <v>2.2653516E7</v>
      </c>
      <c r="O1797">
        <v>2.049163E7</v>
      </c>
      <c r="P1797" t="s">
        <v>219</v>
      </c>
    </row>
    <row r="1798">
      <c r="J1798" s="79" t="s">
        <v>2174</v>
      </c>
      <c r="K1798" t="str">
        <f>B65</f>
        <v>S2</v>
      </c>
      <c r="N1798">
        <v>2.2679124E7</v>
      </c>
      <c r="O1798">
        <v>2.0517238E7</v>
      </c>
      <c r="P1798" t="s">
        <v>242</v>
      </c>
    </row>
    <row r="1799">
      <c r="J1799" s="79" t="s">
        <v>2175</v>
      </c>
      <c r="K1799" t="str">
        <f>B65</f>
        <v>S2</v>
      </c>
      <c r="N1799">
        <v>2.2682263E7</v>
      </c>
      <c r="O1799">
        <v>2.0520377E7</v>
      </c>
      <c r="P1799" t="s">
        <v>242</v>
      </c>
    </row>
    <row r="1800">
      <c r="J1800" s="79" t="s">
        <v>2176</v>
      </c>
      <c r="K1800" t="str">
        <f>B65</f>
        <v>S2</v>
      </c>
      <c r="N1800">
        <v>2.2712031E7</v>
      </c>
      <c r="O1800">
        <v>2.0550145E7</v>
      </c>
      <c r="P1800" t="s">
        <v>221</v>
      </c>
    </row>
    <row r="1801">
      <c r="J1801" s="79" t="s">
        <v>2177</v>
      </c>
      <c r="K1801" t="str">
        <f>B65</f>
        <v>S2</v>
      </c>
      <c r="N1801">
        <v>2.2737115E7</v>
      </c>
      <c r="O1801">
        <v>2.0575229E7</v>
      </c>
      <c r="P1801" t="s">
        <v>229</v>
      </c>
    </row>
    <row r="1802">
      <c r="J1802" s="79" t="s">
        <v>2178</v>
      </c>
      <c r="K1802" t="str">
        <f>B65</f>
        <v>S2</v>
      </c>
      <c r="N1802">
        <v>2.2788254E7</v>
      </c>
      <c r="O1802">
        <v>2.0626368E7</v>
      </c>
      <c r="P1802" t="s">
        <v>221</v>
      </c>
    </row>
    <row r="1803">
      <c r="J1803" s="79" t="s">
        <v>2179</v>
      </c>
      <c r="K1803" t="str">
        <f>B65</f>
        <v>S2</v>
      </c>
      <c r="N1803">
        <v>2.2817996E7</v>
      </c>
      <c r="O1803">
        <v>2.065611E7</v>
      </c>
      <c r="P1803" t="s">
        <v>242</v>
      </c>
    </row>
    <row r="1804">
      <c r="J1804" s="79" t="s">
        <v>2180</v>
      </c>
      <c r="K1804" t="str">
        <f>B65</f>
        <v>S2</v>
      </c>
      <c r="N1804">
        <v>2.285606E7</v>
      </c>
      <c r="O1804">
        <v>2.0694174E7</v>
      </c>
      <c r="P1804" t="s">
        <v>229</v>
      </c>
    </row>
    <row r="1805">
      <c r="J1805" s="79" t="s">
        <v>2181</v>
      </c>
      <c r="K1805" t="str">
        <f>B65</f>
        <v>S2</v>
      </c>
      <c r="N1805">
        <v>2.2880282E7</v>
      </c>
      <c r="O1805">
        <v>2.0718396E7</v>
      </c>
      <c r="P1805" t="s">
        <v>219</v>
      </c>
    </row>
    <row r="1806">
      <c r="J1806" s="79" t="s">
        <v>2182</v>
      </c>
      <c r="K1806" t="str">
        <f>B65</f>
        <v>S2</v>
      </c>
      <c r="N1806">
        <v>2.2915036E7</v>
      </c>
      <c r="O1806">
        <v>2.075315E7</v>
      </c>
      <c r="P1806" t="s">
        <v>216</v>
      </c>
    </row>
    <row r="1807">
      <c r="J1807" s="79" t="s">
        <v>2183</v>
      </c>
      <c r="K1807" t="str">
        <f>B65</f>
        <v>S2</v>
      </c>
      <c r="N1807">
        <v>2.2934138E7</v>
      </c>
      <c r="O1807">
        <v>2.0772252E7</v>
      </c>
      <c r="P1807" t="s">
        <v>302</v>
      </c>
    </row>
    <row r="1808">
      <c r="J1808" s="79" t="s">
        <v>2184</v>
      </c>
      <c r="K1808" t="str">
        <f>B65</f>
        <v>S2</v>
      </c>
      <c r="N1808">
        <v>2.2936471E7</v>
      </c>
      <c r="O1808">
        <v>2.0774585E7</v>
      </c>
      <c r="P1808" t="s">
        <v>216</v>
      </c>
    </row>
    <row r="1809">
      <c r="J1809" s="79" t="s">
        <v>2185</v>
      </c>
      <c r="K1809" t="str">
        <f>B65</f>
        <v>S2</v>
      </c>
      <c r="N1809">
        <v>2.2937527E7</v>
      </c>
      <c r="O1809">
        <v>2.0775641E7</v>
      </c>
      <c r="P1809" t="s">
        <v>221</v>
      </c>
    </row>
    <row r="1810">
      <c r="J1810" s="79" t="s">
        <v>2186</v>
      </c>
      <c r="K1810" t="str">
        <f>B65</f>
        <v>S2</v>
      </c>
      <c r="N1810">
        <v>2.295276E7</v>
      </c>
      <c r="O1810">
        <v>2.0790874E7</v>
      </c>
      <c r="P1810" t="s">
        <v>224</v>
      </c>
    </row>
    <row r="1811">
      <c r="J1811" s="79" t="s">
        <v>2187</v>
      </c>
      <c r="K1811" t="str">
        <f>B65</f>
        <v>S2</v>
      </c>
      <c r="N1811">
        <v>2.2971128E7</v>
      </c>
      <c r="O1811">
        <v>2.0809242E7</v>
      </c>
      <c r="P1811" t="s">
        <v>224</v>
      </c>
    </row>
    <row r="1812">
      <c r="J1812" s="79" t="s">
        <v>2188</v>
      </c>
      <c r="K1812" t="str">
        <f>B65</f>
        <v>S2</v>
      </c>
      <c r="N1812">
        <v>2.2979307E7</v>
      </c>
      <c r="O1812">
        <v>2.0817421E7</v>
      </c>
      <c r="P1812" t="s">
        <v>242</v>
      </c>
    </row>
    <row r="1813">
      <c r="J1813" s="79" t="s">
        <v>2189</v>
      </c>
      <c r="K1813" t="str">
        <f>B65</f>
        <v>S2</v>
      </c>
      <c r="N1813">
        <v>2.2979743E7</v>
      </c>
      <c r="O1813">
        <v>2.0817857E7</v>
      </c>
      <c r="P1813" t="s">
        <v>221</v>
      </c>
    </row>
    <row r="1814">
      <c r="J1814" s="79" t="s">
        <v>2190</v>
      </c>
      <c r="K1814" t="str">
        <f>B65</f>
        <v>S2</v>
      </c>
      <c r="N1814">
        <v>2.3002316E7</v>
      </c>
      <c r="O1814">
        <v>2.084043E7</v>
      </c>
      <c r="P1814" t="s">
        <v>302</v>
      </c>
    </row>
    <row r="1815">
      <c r="J1815" s="79" t="s">
        <v>2191</v>
      </c>
      <c r="K1815" t="str">
        <f>B65</f>
        <v>S2</v>
      </c>
      <c r="N1815">
        <v>2.3003799E7</v>
      </c>
      <c r="O1815">
        <v>2.0841913E7</v>
      </c>
      <c r="P1815" t="s">
        <v>216</v>
      </c>
    </row>
    <row r="1816">
      <c r="J1816" s="79" t="s">
        <v>2192</v>
      </c>
      <c r="K1816" t="str">
        <f>B65</f>
        <v>S2</v>
      </c>
      <c r="N1816">
        <v>2.3019517E7</v>
      </c>
      <c r="O1816">
        <v>2.0857631E7</v>
      </c>
      <c r="P1816" t="s">
        <v>242</v>
      </c>
    </row>
    <row r="1817">
      <c r="J1817" s="79" t="s">
        <v>2193</v>
      </c>
      <c r="K1817" t="str">
        <f>B65</f>
        <v>S2</v>
      </c>
      <c r="N1817">
        <v>2.3029454E7</v>
      </c>
      <c r="O1817">
        <v>2.0867568E7</v>
      </c>
      <c r="P1817" t="s">
        <v>242</v>
      </c>
    </row>
    <row r="1818">
      <c r="J1818" s="79" t="s">
        <v>2194</v>
      </c>
      <c r="K1818" t="str">
        <f>B65</f>
        <v>S2</v>
      </c>
      <c r="N1818">
        <v>2.3039964E7</v>
      </c>
      <c r="O1818">
        <v>2.0878078E7</v>
      </c>
      <c r="P1818" t="s">
        <v>221</v>
      </c>
    </row>
    <row r="1819">
      <c r="J1819" s="79" t="s">
        <v>2195</v>
      </c>
      <c r="K1819" t="str">
        <f>B65</f>
        <v>S2</v>
      </c>
      <c r="N1819">
        <v>2.304768E7</v>
      </c>
      <c r="O1819">
        <v>2.0885794E7</v>
      </c>
      <c r="P1819" t="s">
        <v>219</v>
      </c>
    </row>
    <row r="1820">
      <c r="J1820" s="79" t="s">
        <v>2196</v>
      </c>
      <c r="K1820" t="str">
        <f>B65</f>
        <v>S2</v>
      </c>
      <c r="N1820">
        <v>2.3056359E7</v>
      </c>
      <c r="O1820">
        <v>2.0894473E7</v>
      </c>
      <c r="P1820" t="s">
        <v>232</v>
      </c>
    </row>
    <row r="1821">
      <c r="J1821" s="79" t="s">
        <v>2197</v>
      </c>
      <c r="K1821" t="str">
        <f>B65</f>
        <v>S2</v>
      </c>
      <c r="N1821">
        <v>2.3062902E7</v>
      </c>
      <c r="O1821">
        <v>2.0901016E7</v>
      </c>
      <c r="P1821" t="s">
        <v>242</v>
      </c>
    </row>
    <row r="1822">
      <c r="J1822" s="79" t="s">
        <v>2198</v>
      </c>
      <c r="K1822" t="str">
        <f>B65</f>
        <v>S2</v>
      </c>
      <c r="N1822">
        <v>2.3099192E7</v>
      </c>
      <c r="O1822">
        <v>2.0937306E7</v>
      </c>
      <c r="P1822" t="s">
        <v>221</v>
      </c>
    </row>
    <row r="1823">
      <c r="J1823" s="79" t="s">
        <v>2199</v>
      </c>
      <c r="K1823" t="str">
        <f>B65</f>
        <v>S2</v>
      </c>
      <c r="N1823">
        <v>2.3153843E7</v>
      </c>
      <c r="O1823">
        <v>2.0991957E7</v>
      </c>
      <c r="P1823" t="s">
        <v>221</v>
      </c>
    </row>
    <row r="1824">
      <c r="J1824" s="79" t="s">
        <v>2200</v>
      </c>
      <c r="K1824" t="str">
        <f>B65</f>
        <v>S2</v>
      </c>
      <c r="N1824">
        <v>2.3158657E7</v>
      </c>
      <c r="O1824">
        <v>2.0996771E7</v>
      </c>
      <c r="P1824" t="s">
        <v>232</v>
      </c>
    </row>
    <row r="1825">
      <c r="J1825" s="79" t="s">
        <v>2201</v>
      </c>
      <c r="K1825" t="str">
        <f>B65</f>
        <v>S2</v>
      </c>
      <c r="N1825">
        <v>2.3253044E7</v>
      </c>
      <c r="O1825">
        <v>2.1091158E7</v>
      </c>
      <c r="P1825" t="s">
        <v>221</v>
      </c>
    </row>
    <row r="1826">
      <c r="J1826" s="79" t="s">
        <v>2202</v>
      </c>
      <c r="K1826" t="str">
        <f>B65</f>
        <v>S2</v>
      </c>
      <c r="N1826">
        <v>2.327055E7</v>
      </c>
      <c r="O1826">
        <v>2.1108664E7</v>
      </c>
      <c r="P1826" t="s">
        <v>221</v>
      </c>
    </row>
    <row r="1827">
      <c r="J1827" s="79" t="s">
        <v>2203</v>
      </c>
      <c r="K1827" t="str">
        <f>B65</f>
        <v>S2</v>
      </c>
      <c r="N1827">
        <v>2.3282796E7</v>
      </c>
      <c r="O1827">
        <v>2.112091E7</v>
      </c>
      <c r="P1827" t="s">
        <v>285</v>
      </c>
    </row>
    <row r="1828">
      <c r="J1828" s="79" t="s">
        <v>2204</v>
      </c>
      <c r="K1828" t="str">
        <f>B65</f>
        <v>S2</v>
      </c>
      <c r="N1828">
        <v>2.3284765E7</v>
      </c>
      <c r="O1828">
        <v>2.1122879E7</v>
      </c>
      <c r="P1828" t="s">
        <v>232</v>
      </c>
    </row>
    <row r="1829">
      <c r="J1829" s="79" t="s">
        <v>2205</v>
      </c>
      <c r="K1829" t="str">
        <f>B65</f>
        <v>S2</v>
      </c>
      <c r="M1829" s="79" t="s">
        <v>2206</v>
      </c>
      <c r="N1829">
        <v>2.328771E7</v>
      </c>
      <c r="O1829">
        <v>2.1125824E7</v>
      </c>
      <c r="P1829" t="s">
        <v>221</v>
      </c>
    </row>
    <row r="1830">
      <c r="J1830" s="79" t="s">
        <v>2207</v>
      </c>
      <c r="K1830" t="str">
        <f>B65</f>
        <v>S2</v>
      </c>
      <c r="N1830" s="79">
        <v>2.3311679E7</v>
      </c>
      <c r="O1830">
        <v>2.1149793E7</v>
      </c>
      <c r="P1830" s="79" t="s">
        <v>232</v>
      </c>
    </row>
    <row r="1831">
      <c r="J1831" s="79" t="s">
        <v>2208</v>
      </c>
      <c r="K1831" t="str">
        <f>B65</f>
        <v>S2</v>
      </c>
      <c r="N1831" s="79">
        <v>2.3325302E7</v>
      </c>
      <c r="O1831">
        <v>2.1163416E7</v>
      </c>
      <c r="P1831" s="79" t="s">
        <v>221</v>
      </c>
    </row>
    <row r="1832">
      <c r="J1832" s="79" t="s">
        <v>2209</v>
      </c>
      <c r="K1832" t="str">
        <f>B65</f>
        <v>S2</v>
      </c>
      <c r="N1832" s="79">
        <v>2.3358101E7</v>
      </c>
      <c r="O1832">
        <v>2.1196215E7</v>
      </c>
      <c r="P1832" s="79" t="s">
        <v>232</v>
      </c>
    </row>
    <row r="1833">
      <c r="J1833" s="79" t="s">
        <v>2210</v>
      </c>
      <c r="K1833" t="str">
        <f>B65</f>
        <v>S2</v>
      </c>
      <c r="N1833" s="79">
        <v>2.3363148E7</v>
      </c>
      <c r="O1833">
        <v>2.1201262E7</v>
      </c>
      <c r="P1833" s="79" t="s">
        <v>302</v>
      </c>
    </row>
    <row r="1834">
      <c r="J1834" s="79" t="s">
        <v>2211</v>
      </c>
      <c r="K1834" t="str">
        <f>B65</f>
        <v>S2</v>
      </c>
      <c r="N1834" s="79">
        <v>2.3446925E7</v>
      </c>
      <c r="O1834">
        <v>2.1285039E7</v>
      </c>
      <c r="P1834" s="79" t="s">
        <v>285</v>
      </c>
    </row>
    <row r="1835">
      <c r="J1835" s="79" t="s">
        <v>2212</v>
      </c>
      <c r="K1835" t="str">
        <f>B65</f>
        <v>S2</v>
      </c>
      <c r="N1835">
        <v>2.874699E7</v>
      </c>
      <c r="O1835">
        <v>2.6600843E7</v>
      </c>
      <c r="P1835" t="s">
        <v>224</v>
      </c>
    </row>
    <row r="1836">
      <c r="J1836" s="79" t="s">
        <v>2213</v>
      </c>
      <c r="K1836" t="str">
        <f>B65</f>
        <v>S2</v>
      </c>
      <c r="N1836">
        <v>2.8765186E7</v>
      </c>
      <c r="O1836">
        <v>2.6619039E7</v>
      </c>
      <c r="P1836" t="s">
        <v>232</v>
      </c>
    </row>
    <row r="1837">
      <c r="J1837" s="79" t="s">
        <v>2214</v>
      </c>
      <c r="K1837" t="str">
        <f>C66</f>
        <v>S2a~</v>
      </c>
      <c r="N1837">
        <v>2694460.0</v>
      </c>
      <c r="O1837">
        <v>2826419.0</v>
      </c>
      <c r="P1837" t="s">
        <v>221</v>
      </c>
    </row>
    <row r="1838">
      <c r="J1838" s="79" t="s">
        <v>2215</v>
      </c>
      <c r="K1838" t="str">
        <f>C66</f>
        <v>S2a~</v>
      </c>
      <c r="N1838">
        <v>6692302.0</v>
      </c>
      <c r="O1838">
        <v>6824261.0</v>
      </c>
      <c r="P1838" t="s">
        <v>219</v>
      </c>
    </row>
    <row r="1839">
      <c r="J1839" s="79" t="s">
        <v>2216</v>
      </c>
      <c r="K1839" t="str">
        <f>C66</f>
        <v>S2a~</v>
      </c>
      <c r="N1839">
        <v>1.4178884E7</v>
      </c>
      <c r="O1839">
        <v>1.2058178E7</v>
      </c>
      <c r="P1839" t="s">
        <v>232</v>
      </c>
    </row>
    <row r="1840">
      <c r="J1840" s="79" t="s">
        <v>2217</v>
      </c>
      <c r="K1840" t="str">
        <f t="shared" ref="K1840:K1841" si="14">C66</f>
        <v>S2a~</v>
      </c>
      <c r="N1840">
        <v>1.6915885E7</v>
      </c>
      <c r="O1840">
        <v>1.4804005E7</v>
      </c>
      <c r="P1840" t="s">
        <v>221</v>
      </c>
    </row>
    <row r="1841">
      <c r="J1841" s="79" t="s">
        <v>2218</v>
      </c>
      <c r="K1841" t="str">
        <f t="shared" si="14"/>
        <v>S2b~</v>
      </c>
      <c r="N1841">
        <v>1.4027816E7</v>
      </c>
      <c r="O1841">
        <v>1.190711E7</v>
      </c>
      <c r="P1841" t="s">
        <v>221</v>
      </c>
    </row>
    <row r="1842">
      <c r="J1842" s="79" t="s">
        <v>2219</v>
      </c>
      <c r="K1842" t="str">
        <f>C67</f>
        <v>S2b~</v>
      </c>
      <c r="N1842">
        <v>1.4783324E7</v>
      </c>
      <c r="O1842">
        <v>1.2671394E7</v>
      </c>
      <c r="P1842" t="s">
        <v>255</v>
      </c>
    </row>
    <row r="1843">
      <c r="J1843" s="79" t="s">
        <v>2220</v>
      </c>
      <c r="K1843" t="str">
        <f>C67</f>
        <v>S2b~</v>
      </c>
      <c r="N1843">
        <v>1.5630354E7</v>
      </c>
      <c r="O1843">
        <v>1.3518474E7</v>
      </c>
      <c r="P1843" t="s">
        <v>235</v>
      </c>
    </row>
    <row r="1844">
      <c r="J1844" s="79" t="s">
        <v>2221</v>
      </c>
      <c r="K1844" t="str">
        <f>C67</f>
        <v>S2b~</v>
      </c>
      <c r="N1844" s="79">
        <v>1.8985562E7</v>
      </c>
      <c r="O1844" s="79">
        <v>1.6873682E7</v>
      </c>
      <c r="P1844" t="s">
        <v>283</v>
      </c>
    </row>
    <row r="1845">
      <c r="J1845" s="79" t="s">
        <v>2222</v>
      </c>
      <c r="K1845" t="str">
        <f>C67</f>
        <v>S2b~</v>
      </c>
      <c r="N1845" s="79">
        <v>2.2122019E7</v>
      </c>
      <c r="O1845" s="79">
        <v>1.9960133E7</v>
      </c>
      <c r="P1845" t="s">
        <v>216</v>
      </c>
    </row>
    <row r="1846">
      <c r="J1846" s="79" t="s">
        <v>107</v>
      </c>
      <c r="K1846" t="str">
        <f t="shared" ref="K1846:K1847" si="15">B68</f>
        <v>S3~</v>
      </c>
      <c r="M1846" t="s">
        <v>2223</v>
      </c>
      <c r="N1846">
        <v>9004921.0</v>
      </c>
      <c r="O1846">
        <v>9167312.0</v>
      </c>
      <c r="P1846" t="s">
        <v>232</v>
      </c>
    </row>
    <row r="1847">
      <c r="J1847" s="79" t="s">
        <v>2224</v>
      </c>
      <c r="K1847" t="str">
        <f t="shared" si="15"/>
        <v>S4~</v>
      </c>
      <c r="N1847" s="79">
        <v>1.7351512E7</v>
      </c>
      <c r="O1847" s="79">
        <v>1.5239632E7</v>
      </c>
      <c r="P1847" s="79" t="s">
        <v>232</v>
      </c>
    </row>
    <row r="1848">
      <c r="J1848" s="79" t="s">
        <v>2225</v>
      </c>
      <c r="K1848" t="str">
        <f>B69</f>
        <v>S4~</v>
      </c>
      <c r="N1848" s="79">
        <v>1.6258852E7</v>
      </c>
      <c r="O1848" s="79">
        <v>1.4146972E7</v>
      </c>
      <c r="P1848" s="79" t="s">
        <v>302</v>
      </c>
    </row>
    <row r="1849">
      <c r="J1849" s="79" t="s">
        <v>2226</v>
      </c>
      <c r="K1849" t="str">
        <f>B69</f>
        <v>S4~</v>
      </c>
      <c r="N1849" s="79">
        <v>1.6751707E7</v>
      </c>
      <c r="O1849" s="79">
        <v>1.4639827E7</v>
      </c>
      <c r="P1849" s="79" t="s">
        <v>232</v>
      </c>
    </row>
    <row r="1850">
      <c r="J1850" s="79" t="s">
        <v>2227</v>
      </c>
      <c r="K1850" t="str">
        <f>B69</f>
        <v>S4~</v>
      </c>
      <c r="N1850" s="79">
        <v>1.3479274E7</v>
      </c>
      <c r="O1850" s="79">
        <v>1.1323598E7</v>
      </c>
      <c r="P1850" s="79" t="s">
        <v>232</v>
      </c>
    </row>
    <row r="1851">
      <c r="J1851" s="79" t="s">
        <v>2228</v>
      </c>
      <c r="K1851" t="str">
        <f>B69</f>
        <v>S4~</v>
      </c>
      <c r="N1851" s="79">
        <v>6744868.0</v>
      </c>
      <c r="O1851" s="79">
        <v>6876827.0</v>
      </c>
      <c r="P1851" s="79" t="s">
        <v>242</v>
      </c>
    </row>
    <row r="1852">
      <c r="J1852" s="79" t="s">
        <v>2229</v>
      </c>
      <c r="K1852" t="str">
        <f>B69</f>
        <v>S4~</v>
      </c>
      <c r="N1852" s="79">
        <v>6924778.0</v>
      </c>
      <c r="O1852" s="79">
        <v>7056737.0</v>
      </c>
      <c r="P1852" s="79" t="s">
        <v>283</v>
      </c>
    </row>
    <row r="1853">
      <c r="J1853" s="79" t="s">
        <v>2230</v>
      </c>
      <c r="K1853" t="str">
        <f>B69</f>
        <v>S4~</v>
      </c>
      <c r="N1853" s="79">
        <v>7218603.0</v>
      </c>
      <c r="O1853" s="79">
        <v>7350562.0</v>
      </c>
      <c r="P1853" s="79" t="s">
        <v>221</v>
      </c>
    </row>
    <row r="1854">
      <c r="J1854" s="79" t="s">
        <v>2231</v>
      </c>
      <c r="K1854" t="str">
        <f>B69</f>
        <v>S4~</v>
      </c>
      <c r="N1854" s="79">
        <v>7785826.0</v>
      </c>
      <c r="O1854" s="79">
        <v>7917785.0</v>
      </c>
      <c r="P1854" s="79" t="s">
        <v>229</v>
      </c>
    </row>
    <row r="1855">
      <c r="J1855" s="79" t="s">
        <v>2232</v>
      </c>
      <c r="K1855" t="str">
        <f>B69</f>
        <v>S4~</v>
      </c>
      <c r="N1855" s="79">
        <v>7927921.0</v>
      </c>
      <c r="O1855" s="79">
        <v>8059880.0</v>
      </c>
      <c r="P1855" s="79" t="s">
        <v>302</v>
      </c>
    </row>
    <row r="1856">
      <c r="J1856" s="79" t="s">
        <v>2233</v>
      </c>
      <c r="K1856" t="str">
        <f>B69</f>
        <v>S4~</v>
      </c>
      <c r="N1856" s="79">
        <v>8090607.0</v>
      </c>
      <c r="O1856" s="79">
        <v>8222566.0</v>
      </c>
      <c r="P1856" s="79" t="s">
        <v>232</v>
      </c>
    </row>
    <row r="1857">
      <c r="J1857" s="79" t="s">
        <v>2234</v>
      </c>
      <c r="K1857" t="str">
        <f>B69</f>
        <v>S4~</v>
      </c>
      <c r="N1857" s="79">
        <v>8197813.0</v>
      </c>
      <c r="O1857" s="79">
        <v>8329772.0</v>
      </c>
      <c r="P1857" s="79" t="s">
        <v>235</v>
      </c>
    </row>
    <row r="1858">
      <c r="J1858" s="79" t="s">
        <v>2235</v>
      </c>
      <c r="K1858" t="str">
        <f>B69</f>
        <v>S4~</v>
      </c>
      <c r="N1858" s="79">
        <v>8565124.0</v>
      </c>
      <c r="O1858" s="79">
        <v>8697083.0</v>
      </c>
      <c r="P1858" s="79" t="s">
        <v>232</v>
      </c>
    </row>
    <row r="1859">
      <c r="J1859" s="79" t="s">
        <v>2236</v>
      </c>
      <c r="K1859" t="str">
        <f>B69</f>
        <v>S4~</v>
      </c>
      <c r="N1859" s="79">
        <v>8743780.0</v>
      </c>
      <c r="O1859" s="79">
        <v>8875739.0</v>
      </c>
      <c r="P1859" s="79" t="s">
        <v>221</v>
      </c>
    </row>
    <row r="1860">
      <c r="J1860" s="79" t="s">
        <v>2237</v>
      </c>
      <c r="K1860" t="str">
        <f>B69</f>
        <v>S4~</v>
      </c>
      <c r="N1860" s="79">
        <v>8866827.0</v>
      </c>
      <c r="O1860" s="79">
        <v>8998786.0</v>
      </c>
      <c r="P1860" s="79" t="s">
        <v>221</v>
      </c>
    </row>
    <row r="1861">
      <c r="J1861" s="79" t="s">
        <v>2238</v>
      </c>
      <c r="K1861" t="str">
        <f>B69</f>
        <v>S4~</v>
      </c>
      <c r="N1861" s="79">
        <v>8909373.0</v>
      </c>
      <c r="O1861" s="79">
        <v>9041332.0</v>
      </c>
      <c r="P1861" s="79" t="s">
        <v>242</v>
      </c>
    </row>
    <row r="1862">
      <c r="J1862" s="79" t="s">
        <v>2239</v>
      </c>
      <c r="K1862" t="str">
        <f>B69</f>
        <v>S4~</v>
      </c>
      <c r="N1862" s="79">
        <v>9005053.0</v>
      </c>
      <c r="O1862" s="79">
        <v>9167444.0</v>
      </c>
      <c r="P1862" s="79" t="s">
        <v>232</v>
      </c>
    </row>
    <row r="1863">
      <c r="J1863" s="79" t="s">
        <v>2240</v>
      </c>
      <c r="K1863" t="str">
        <f>B69</f>
        <v>S4~</v>
      </c>
      <c r="N1863" s="79">
        <v>9143013.0</v>
      </c>
      <c r="O1863" s="79">
        <v>9305404.0</v>
      </c>
      <c r="P1863" s="79" t="s">
        <v>232</v>
      </c>
    </row>
    <row r="1864">
      <c r="J1864" s="79" t="s">
        <v>2241</v>
      </c>
      <c r="K1864" t="str">
        <f>B69</f>
        <v>S4~</v>
      </c>
      <c r="N1864" s="79">
        <v>9164608.0</v>
      </c>
      <c r="O1864" s="79">
        <v>9326999.0</v>
      </c>
      <c r="P1864" s="79" t="s">
        <v>232</v>
      </c>
    </row>
    <row r="1865">
      <c r="J1865" s="79" t="s">
        <v>2242</v>
      </c>
      <c r="K1865" t="str">
        <f>B69</f>
        <v>S4~</v>
      </c>
      <c r="N1865" s="79">
        <v>1.3572739E7</v>
      </c>
      <c r="O1865" s="79">
        <v>1.1417063E7</v>
      </c>
      <c r="P1865" s="79" t="s">
        <v>219</v>
      </c>
    </row>
    <row r="1866">
      <c r="J1866" s="79" t="s">
        <v>2243</v>
      </c>
      <c r="K1866" t="str">
        <f>B69</f>
        <v>S4~</v>
      </c>
      <c r="N1866" s="79">
        <v>1.3624396E7</v>
      </c>
      <c r="O1866" s="79">
        <v>1.146872E7</v>
      </c>
      <c r="P1866" s="79" t="s">
        <v>221</v>
      </c>
    </row>
    <row r="1867">
      <c r="J1867" s="79" t="s">
        <v>2244</v>
      </c>
      <c r="K1867" t="str">
        <f>B69</f>
        <v>S4~</v>
      </c>
      <c r="N1867" s="79">
        <v>1.3663019E7</v>
      </c>
      <c r="O1867" s="79">
        <v>1.1507343E7</v>
      </c>
      <c r="P1867" s="79" t="s">
        <v>219</v>
      </c>
    </row>
    <row r="1868">
      <c r="J1868" s="79" t="s">
        <v>2245</v>
      </c>
      <c r="K1868" t="str">
        <f>B69</f>
        <v>S4~</v>
      </c>
      <c r="M1868" s="79" t="s">
        <v>2246</v>
      </c>
      <c r="N1868" s="79">
        <v>1.3663531E7</v>
      </c>
      <c r="O1868" s="79">
        <v>1.1507855E7</v>
      </c>
      <c r="P1868" s="79" t="s">
        <v>302</v>
      </c>
    </row>
    <row r="1869">
      <c r="J1869" s="79" t="s">
        <v>2247</v>
      </c>
      <c r="K1869" t="str">
        <f>B69</f>
        <v>S4~</v>
      </c>
      <c r="N1869" s="79">
        <v>1.3675177E7</v>
      </c>
      <c r="O1869" s="79">
        <v>1.1519501E7</v>
      </c>
      <c r="P1869" s="79" t="s">
        <v>255</v>
      </c>
    </row>
    <row r="1870">
      <c r="J1870" s="79" t="s">
        <v>2248</v>
      </c>
      <c r="K1870" t="str">
        <f>B69</f>
        <v>S4~</v>
      </c>
      <c r="N1870" s="79">
        <v>1.3689121E7</v>
      </c>
      <c r="O1870" s="79">
        <v>1.1533445E7</v>
      </c>
      <c r="P1870" s="79" t="s">
        <v>232</v>
      </c>
    </row>
    <row r="1871">
      <c r="J1871" s="79" t="s">
        <v>2249</v>
      </c>
      <c r="K1871" t="str">
        <f>B69</f>
        <v>S4~</v>
      </c>
      <c r="N1871" s="79">
        <v>1.3693799E7</v>
      </c>
      <c r="O1871" s="79">
        <v>1.1538123E7</v>
      </c>
      <c r="P1871" s="79" t="s">
        <v>242</v>
      </c>
    </row>
    <row r="1872">
      <c r="J1872" s="79" t="s">
        <v>2250</v>
      </c>
      <c r="K1872" t="str">
        <f>B69</f>
        <v>S4~</v>
      </c>
      <c r="N1872" s="79">
        <v>1.3713636E7</v>
      </c>
      <c r="O1872" s="79">
        <v>1.155796E7</v>
      </c>
      <c r="P1872" s="79" t="s">
        <v>221</v>
      </c>
    </row>
    <row r="1873">
      <c r="J1873" s="79" t="s">
        <v>2251</v>
      </c>
      <c r="K1873" t="str">
        <f>B69</f>
        <v>S4~</v>
      </c>
      <c r="N1873" s="79">
        <v>1.3714754E7</v>
      </c>
      <c r="O1873" s="79">
        <v>1.1559078E7</v>
      </c>
      <c r="P1873" s="79" t="s">
        <v>283</v>
      </c>
    </row>
    <row r="1874">
      <c r="J1874" s="79" t="s">
        <v>2252</v>
      </c>
      <c r="K1874" t="str">
        <f>B69</f>
        <v>S4~</v>
      </c>
      <c r="N1874" s="79">
        <v>1.382609E7</v>
      </c>
      <c r="O1874" s="79">
        <v>1.1705384E7</v>
      </c>
      <c r="P1874" s="79" t="s">
        <v>285</v>
      </c>
    </row>
    <row r="1875">
      <c r="J1875" s="79" t="s">
        <v>2253</v>
      </c>
      <c r="K1875" t="str">
        <f>B69</f>
        <v>S4~</v>
      </c>
      <c r="N1875" s="79">
        <v>1.387111E7</v>
      </c>
      <c r="O1875" s="79">
        <v>1.1750404E7</v>
      </c>
      <c r="P1875" s="79" t="s">
        <v>242</v>
      </c>
    </row>
    <row r="1876">
      <c r="J1876" s="79" t="s">
        <v>2254</v>
      </c>
      <c r="K1876" t="str">
        <f>B69</f>
        <v>S4~</v>
      </c>
      <c r="N1876" s="79">
        <v>1.3982327E7</v>
      </c>
      <c r="O1876" s="79">
        <v>1.1861621E7</v>
      </c>
      <c r="P1876" s="79" t="s">
        <v>302</v>
      </c>
    </row>
    <row r="1877">
      <c r="J1877" s="79" t="s">
        <v>2255</v>
      </c>
      <c r="K1877" t="str">
        <f>B69</f>
        <v>S4~</v>
      </c>
      <c r="N1877" s="79">
        <v>1.4437478E7</v>
      </c>
      <c r="O1877" s="79">
        <v>1.2316751E7</v>
      </c>
      <c r="P1877" s="79" t="s">
        <v>232</v>
      </c>
    </row>
    <row r="1878">
      <c r="J1878" s="79" t="s">
        <v>2256</v>
      </c>
      <c r="K1878" t="str">
        <f>B69</f>
        <v>S4~</v>
      </c>
      <c r="N1878" s="79">
        <v>1.5863951E7</v>
      </c>
      <c r="O1878" s="79">
        <v>1.3752071E7</v>
      </c>
      <c r="P1878" s="79" t="s">
        <v>232</v>
      </c>
    </row>
    <row r="1879">
      <c r="J1879" s="79" t="s">
        <v>2257</v>
      </c>
      <c r="K1879" t="str">
        <f>B69</f>
        <v>S4~</v>
      </c>
      <c r="N1879" s="79">
        <v>1.5933162E7</v>
      </c>
      <c r="O1879" s="79">
        <v>1.3821282E7</v>
      </c>
      <c r="P1879" s="79" t="s">
        <v>216</v>
      </c>
    </row>
    <row r="1880">
      <c r="J1880" s="79" t="s">
        <v>2258</v>
      </c>
      <c r="K1880" t="str">
        <f>B69</f>
        <v>S4~</v>
      </c>
      <c r="N1880" s="79">
        <v>1.6039541E7</v>
      </c>
      <c r="O1880" s="79">
        <v>1.3927661E7</v>
      </c>
      <c r="P1880" s="79" t="s">
        <v>224</v>
      </c>
    </row>
    <row r="1881">
      <c r="J1881" s="79" t="s">
        <v>2259</v>
      </c>
      <c r="K1881" t="str">
        <f>B69</f>
        <v>S4~</v>
      </c>
      <c r="N1881" s="79">
        <v>1.622553E7</v>
      </c>
      <c r="O1881" s="79">
        <v>1.411365E7</v>
      </c>
      <c r="P1881" s="79" t="s">
        <v>255</v>
      </c>
    </row>
    <row r="1882">
      <c r="J1882" s="79" t="s">
        <v>2260</v>
      </c>
      <c r="K1882" t="str">
        <f>B69</f>
        <v>S4~</v>
      </c>
      <c r="N1882" s="79">
        <v>1.6771786E7</v>
      </c>
      <c r="O1882" s="79">
        <v>1.4659906E7</v>
      </c>
      <c r="P1882" s="79" t="s">
        <v>302</v>
      </c>
    </row>
    <row r="1883">
      <c r="J1883" s="79" t="s">
        <v>2261</v>
      </c>
      <c r="K1883" t="str">
        <f>B69</f>
        <v>S4~</v>
      </c>
      <c r="N1883" s="79">
        <v>1.6957293E7</v>
      </c>
      <c r="O1883" s="79">
        <v>1.4845413E7</v>
      </c>
      <c r="P1883" s="79" t="s">
        <v>219</v>
      </c>
    </row>
    <row r="1884">
      <c r="J1884" s="79" t="s">
        <v>2262</v>
      </c>
      <c r="K1884" t="str">
        <f>B69</f>
        <v>S4~</v>
      </c>
      <c r="N1884" s="79">
        <v>1.7400191E7</v>
      </c>
      <c r="O1884" s="79">
        <v>1.5288311E7</v>
      </c>
      <c r="P1884" s="79" t="s">
        <v>232</v>
      </c>
    </row>
    <row r="1885">
      <c r="J1885" s="79" t="s">
        <v>2263</v>
      </c>
      <c r="K1885" t="str">
        <f>B69</f>
        <v>S4~</v>
      </c>
      <c r="N1885" s="79">
        <v>1.7480607E7</v>
      </c>
      <c r="O1885" s="79">
        <v>1.5368727E7</v>
      </c>
      <c r="P1885" s="79" t="s">
        <v>219</v>
      </c>
    </row>
    <row r="1886">
      <c r="J1886" s="79" t="s">
        <v>2264</v>
      </c>
      <c r="K1886" t="str">
        <f>B69</f>
        <v>S4~</v>
      </c>
      <c r="N1886" s="79">
        <v>1.7885569E7</v>
      </c>
      <c r="O1886" s="79">
        <v>1.5773689E7</v>
      </c>
      <c r="P1886" s="79" t="s">
        <v>221</v>
      </c>
    </row>
    <row r="1887">
      <c r="J1887" s="79" t="s">
        <v>2265</v>
      </c>
      <c r="K1887" t="str">
        <f>B69</f>
        <v>S4~</v>
      </c>
      <c r="N1887" s="79">
        <v>2.2817737E7</v>
      </c>
      <c r="O1887" s="79">
        <v>2.0655851E7</v>
      </c>
      <c r="P1887" s="79" t="s">
        <v>232</v>
      </c>
    </row>
    <row r="1888">
      <c r="J1888" s="79" t="s">
        <v>2266</v>
      </c>
      <c r="K1888" t="str">
        <f>B69</f>
        <v>S4~</v>
      </c>
      <c r="N1888" s="79">
        <v>2.3748969E7</v>
      </c>
      <c r="O1888" s="79">
        <v>2.1587083E7</v>
      </c>
      <c r="P1888" s="79" t="s">
        <v>242</v>
      </c>
    </row>
    <row r="1889">
      <c r="J1889" s="79" t="s">
        <v>2267</v>
      </c>
      <c r="K1889" t="str">
        <f>B69</f>
        <v>S4~</v>
      </c>
      <c r="N1889" s="79">
        <v>2.399256E7</v>
      </c>
      <c r="O1889" s="79">
        <v>2.1846413E7</v>
      </c>
      <c r="P1889" s="79" t="s">
        <v>302</v>
      </c>
    </row>
    <row r="1890">
      <c r="J1890" s="79" t="s">
        <v>2268</v>
      </c>
      <c r="K1890" t="str">
        <f>B69</f>
        <v>S4~</v>
      </c>
      <c r="N1890" s="79">
        <v>7869574.0</v>
      </c>
      <c r="O1890" s="79">
        <v>8001533.0</v>
      </c>
      <c r="P1890" s="79" t="s">
        <v>242</v>
      </c>
    </row>
    <row r="1891">
      <c r="J1891" s="79" t="s">
        <v>2269</v>
      </c>
      <c r="K1891" t="str">
        <f>B69</f>
        <v>S4~</v>
      </c>
      <c r="N1891" s="79">
        <v>1.3683718E7</v>
      </c>
      <c r="O1891" s="79">
        <v>1.1528042E7</v>
      </c>
      <c r="P1891" s="79" t="s">
        <v>232</v>
      </c>
    </row>
    <row r="1892">
      <c r="J1892" s="79" t="s">
        <v>2270</v>
      </c>
      <c r="K1892" t="str">
        <f>B69</f>
        <v>S4~</v>
      </c>
      <c r="M1892" s="79" t="s">
        <v>2271</v>
      </c>
      <c r="N1892" s="79">
        <v>7314799.0</v>
      </c>
      <c r="O1892" s="79">
        <v>7446758.0</v>
      </c>
      <c r="P1892" s="79" t="s">
        <v>235</v>
      </c>
    </row>
    <row r="1893">
      <c r="J1893" s="79" t="s">
        <v>2272</v>
      </c>
      <c r="K1893" t="str">
        <f>B69</f>
        <v>S4~</v>
      </c>
      <c r="M1893" s="79" t="s">
        <v>2273</v>
      </c>
      <c r="N1893" s="79">
        <v>6978846.0</v>
      </c>
      <c r="O1893" s="79">
        <v>7110805.0</v>
      </c>
      <c r="P1893" s="79" t="s">
        <v>232</v>
      </c>
    </row>
    <row r="1894">
      <c r="J1894" s="79" t="s">
        <v>2274</v>
      </c>
      <c r="K1894" t="str">
        <f>B69</f>
        <v>S4~</v>
      </c>
      <c r="M1894" s="79" t="s">
        <v>2275</v>
      </c>
      <c r="N1894" s="79">
        <v>1.5798712E7</v>
      </c>
      <c r="O1894" s="79">
        <v>1.3686832E7</v>
      </c>
      <c r="P1894" s="79" t="s">
        <v>232</v>
      </c>
    </row>
    <row r="1895">
      <c r="J1895" s="79" t="s">
        <v>2276</v>
      </c>
      <c r="K1895" t="str">
        <f>B69</f>
        <v>S4~</v>
      </c>
      <c r="N1895" s="79">
        <v>2710835.0</v>
      </c>
      <c r="O1895" s="79">
        <v>2842794.0</v>
      </c>
      <c r="P1895" s="79" t="s">
        <v>283</v>
      </c>
    </row>
    <row r="1896">
      <c r="J1896" s="79" t="s">
        <v>2277</v>
      </c>
      <c r="K1896" t="str">
        <f>B69</f>
        <v>S4~</v>
      </c>
      <c r="N1896" s="79">
        <v>2724087.0</v>
      </c>
      <c r="O1896" s="79">
        <v>2856046.0</v>
      </c>
      <c r="P1896" s="79" t="s">
        <v>232</v>
      </c>
    </row>
    <row r="1897">
      <c r="J1897" s="79" t="s">
        <v>2278</v>
      </c>
      <c r="K1897" t="str">
        <f>B69</f>
        <v>S4~</v>
      </c>
      <c r="N1897" s="79">
        <v>2830036.0</v>
      </c>
      <c r="O1897" s="79">
        <v>2961995.0</v>
      </c>
      <c r="P1897" s="79" t="s">
        <v>302</v>
      </c>
    </row>
    <row r="1898">
      <c r="J1898" s="79" t="s">
        <v>2279</v>
      </c>
      <c r="K1898" t="str">
        <f>B69</f>
        <v>S4~</v>
      </c>
      <c r="M1898" s="79" t="s">
        <v>2280</v>
      </c>
      <c r="N1898" s="79">
        <v>4081356.0</v>
      </c>
      <c r="O1898" s="79">
        <v>4213315.0</v>
      </c>
      <c r="P1898" s="79" t="s">
        <v>221</v>
      </c>
    </row>
    <row r="1899">
      <c r="J1899" s="79" t="s">
        <v>2281</v>
      </c>
      <c r="K1899" t="str">
        <f>B69</f>
        <v>S4~</v>
      </c>
      <c r="N1899" s="79">
        <v>6705246.0</v>
      </c>
      <c r="O1899" s="79">
        <v>6837205.0</v>
      </c>
      <c r="P1899" s="79" t="s">
        <v>229</v>
      </c>
    </row>
    <row r="1900">
      <c r="J1900" s="79" t="s">
        <v>2282</v>
      </c>
      <c r="K1900" t="str">
        <f>B69</f>
        <v>S4~</v>
      </c>
      <c r="N1900" s="79">
        <v>6836456.0</v>
      </c>
      <c r="O1900" s="79">
        <v>6968415.0</v>
      </c>
      <c r="P1900" s="79" t="s">
        <v>221</v>
      </c>
    </row>
    <row r="1901">
      <c r="J1901" s="79" t="s">
        <v>2283</v>
      </c>
      <c r="K1901" t="str">
        <f>B69</f>
        <v>S4~</v>
      </c>
      <c r="M1901" s="79" t="s">
        <v>2284</v>
      </c>
      <c r="N1901" s="79">
        <v>6986385.0</v>
      </c>
      <c r="O1901" s="79">
        <v>7118344.0</v>
      </c>
      <c r="P1901" s="79" t="s">
        <v>232</v>
      </c>
    </row>
    <row r="1902">
      <c r="J1902" s="79" t="s">
        <v>2285</v>
      </c>
      <c r="K1902" t="str">
        <f>B69</f>
        <v>S4~</v>
      </c>
      <c r="N1902" s="79">
        <v>7034403.0</v>
      </c>
      <c r="O1902" s="79">
        <v>7166362.0</v>
      </c>
      <c r="P1902" s="79" t="s">
        <v>283</v>
      </c>
    </row>
    <row r="1903">
      <c r="J1903" s="79" t="s">
        <v>2286</v>
      </c>
      <c r="K1903" t="str">
        <f>B69</f>
        <v>S4~</v>
      </c>
      <c r="N1903" s="79">
        <v>7066299.0</v>
      </c>
      <c r="O1903" s="79">
        <v>7198258.0</v>
      </c>
      <c r="P1903" s="79" t="s">
        <v>221</v>
      </c>
    </row>
    <row r="1904">
      <c r="J1904" s="79" t="s">
        <v>2287</v>
      </c>
      <c r="K1904" t="str">
        <f>B69</f>
        <v>S4~</v>
      </c>
      <c r="N1904" s="79">
        <v>7161443.0</v>
      </c>
      <c r="O1904" s="79">
        <v>7293402.0</v>
      </c>
      <c r="P1904" s="79" t="s">
        <v>221</v>
      </c>
    </row>
    <row r="1905">
      <c r="J1905" s="79" t="s">
        <v>2288</v>
      </c>
      <c r="K1905" t="str">
        <f>B69</f>
        <v>S4~</v>
      </c>
      <c r="N1905" s="79">
        <v>7163862.0</v>
      </c>
      <c r="O1905" s="79">
        <v>7295821.0</v>
      </c>
      <c r="P1905" s="79" t="s">
        <v>221</v>
      </c>
    </row>
    <row r="1906">
      <c r="J1906" s="79" t="s">
        <v>2289</v>
      </c>
      <c r="K1906" t="str">
        <f>B69</f>
        <v>S4~</v>
      </c>
      <c r="N1906" s="79">
        <v>7212550.0</v>
      </c>
      <c r="O1906" s="79">
        <v>7344509.0</v>
      </c>
      <c r="P1906" s="79" t="s">
        <v>229</v>
      </c>
    </row>
    <row r="1907">
      <c r="J1907" s="79" t="s">
        <v>2290</v>
      </c>
      <c r="K1907" t="str">
        <f>B69</f>
        <v>S4~</v>
      </c>
      <c r="N1907" s="79">
        <v>7268972.0</v>
      </c>
      <c r="O1907" s="79">
        <v>7400931.0</v>
      </c>
      <c r="P1907" s="79" t="s">
        <v>219</v>
      </c>
    </row>
    <row r="1908">
      <c r="J1908" s="79" t="s">
        <v>2291</v>
      </c>
      <c r="K1908" t="str">
        <f>B69</f>
        <v>S4~</v>
      </c>
      <c r="N1908" s="79">
        <v>7354122.0</v>
      </c>
      <c r="O1908" s="79">
        <v>7486081.0</v>
      </c>
      <c r="P1908" s="79" t="s">
        <v>216</v>
      </c>
    </row>
    <row r="1909">
      <c r="J1909" s="79" t="s">
        <v>2292</v>
      </c>
      <c r="K1909" t="str">
        <f>B69</f>
        <v>S4~</v>
      </c>
      <c r="N1909" s="79">
        <v>7391580.0</v>
      </c>
      <c r="O1909" s="79">
        <v>7523539.0</v>
      </c>
      <c r="P1909" s="79" t="s">
        <v>232</v>
      </c>
    </row>
    <row r="1910">
      <c r="J1910" s="79" t="s">
        <v>2293</v>
      </c>
      <c r="K1910" t="str">
        <f>B69</f>
        <v>S4~</v>
      </c>
      <c r="N1910" s="79">
        <v>7510983.0</v>
      </c>
      <c r="O1910" s="79">
        <v>7642942.0</v>
      </c>
      <c r="P1910" s="79" t="s">
        <v>242</v>
      </c>
    </row>
    <row r="1911">
      <c r="J1911" s="79" t="s">
        <v>2294</v>
      </c>
      <c r="K1911" t="str">
        <f>B69</f>
        <v>S4~</v>
      </c>
      <c r="N1911" s="79">
        <v>7510990.0</v>
      </c>
      <c r="O1911" s="79">
        <v>7642949.0</v>
      </c>
      <c r="P1911" s="79" t="s">
        <v>219</v>
      </c>
    </row>
    <row r="1912">
      <c r="J1912" s="79" t="s">
        <v>2295</v>
      </c>
      <c r="K1912" t="str">
        <f>B69</f>
        <v>S4~</v>
      </c>
      <c r="N1912" s="79">
        <v>7534227.0</v>
      </c>
      <c r="O1912" s="79">
        <v>7666186.0</v>
      </c>
      <c r="P1912" s="79" t="s">
        <v>255</v>
      </c>
    </row>
    <row r="1913">
      <c r="J1913" s="79" t="s">
        <v>2296</v>
      </c>
      <c r="K1913" t="str">
        <f>B69</f>
        <v>S4~</v>
      </c>
      <c r="N1913" s="79">
        <v>7582291.0</v>
      </c>
      <c r="O1913" s="79">
        <v>7714250.0</v>
      </c>
      <c r="P1913" s="79" t="s">
        <v>302</v>
      </c>
    </row>
    <row r="1914">
      <c r="J1914" s="79" t="s">
        <v>2297</v>
      </c>
      <c r="K1914" t="str">
        <f>B69</f>
        <v>S4~</v>
      </c>
      <c r="N1914" s="79">
        <v>7620719.0</v>
      </c>
      <c r="O1914" s="79">
        <v>7752678.0</v>
      </c>
      <c r="P1914" s="79" t="s">
        <v>283</v>
      </c>
    </row>
    <row r="1915">
      <c r="J1915" s="79" t="s">
        <v>2298</v>
      </c>
      <c r="K1915" t="str">
        <f>B69</f>
        <v>S4~</v>
      </c>
      <c r="N1915" s="79">
        <v>7768370.0</v>
      </c>
      <c r="O1915" s="79">
        <v>7900329.0</v>
      </c>
      <c r="P1915" s="79" t="s">
        <v>232</v>
      </c>
    </row>
    <row r="1916">
      <c r="J1916" s="79" t="s">
        <v>2299</v>
      </c>
      <c r="K1916" t="str">
        <f>B69</f>
        <v>S4~</v>
      </c>
      <c r="N1916" s="79">
        <v>7786675.0</v>
      </c>
      <c r="O1916" s="79">
        <v>7918634.0</v>
      </c>
      <c r="P1916" s="79" t="s">
        <v>242</v>
      </c>
    </row>
    <row r="1917">
      <c r="J1917" s="79" t="s">
        <v>2300</v>
      </c>
      <c r="K1917" t="str">
        <f>B69</f>
        <v>S4~</v>
      </c>
      <c r="N1917" s="79">
        <v>7792976.0</v>
      </c>
      <c r="O1917" s="79">
        <v>7924935.0</v>
      </c>
      <c r="P1917" s="79" t="s">
        <v>255</v>
      </c>
    </row>
    <row r="1918">
      <c r="J1918" s="79" t="s">
        <v>2301</v>
      </c>
      <c r="K1918" t="str">
        <f>B69</f>
        <v>S4~</v>
      </c>
      <c r="N1918" s="79">
        <v>7802365.0</v>
      </c>
      <c r="O1918" s="79">
        <v>7934324.0</v>
      </c>
      <c r="P1918" s="79" t="s">
        <v>302</v>
      </c>
    </row>
    <row r="1919">
      <c r="J1919" s="79" t="s">
        <v>2302</v>
      </c>
      <c r="K1919" t="str">
        <f>B69</f>
        <v>S4~</v>
      </c>
      <c r="N1919" s="79">
        <v>7809619.0</v>
      </c>
      <c r="O1919" s="79">
        <v>7941578.0</v>
      </c>
      <c r="P1919" s="79" t="s">
        <v>221</v>
      </c>
    </row>
    <row r="1920">
      <c r="J1920" s="79" t="s">
        <v>2303</v>
      </c>
      <c r="K1920" t="str">
        <f>B69</f>
        <v>S4~</v>
      </c>
      <c r="N1920" s="79">
        <v>7818270.0</v>
      </c>
      <c r="O1920" s="79">
        <v>7950229.0</v>
      </c>
      <c r="P1920" s="79" t="s">
        <v>302</v>
      </c>
    </row>
    <row r="1921">
      <c r="J1921" s="79" t="s">
        <v>2304</v>
      </c>
      <c r="K1921" t="str">
        <f>B69</f>
        <v>S4~</v>
      </c>
      <c r="N1921" s="79">
        <v>7828507.0</v>
      </c>
      <c r="O1921" s="79">
        <v>7960466.0</v>
      </c>
      <c r="P1921" s="79" t="s">
        <v>255</v>
      </c>
    </row>
    <row r="1922">
      <c r="J1922" s="79" t="s">
        <v>2305</v>
      </c>
      <c r="K1922" t="str">
        <f>B69</f>
        <v>S4~</v>
      </c>
      <c r="N1922" s="79">
        <v>7938682.0</v>
      </c>
      <c r="O1922" s="79">
        <v>8070641.0</v>
      </c>
      <c r="P1922" s="79" t="s">
        <v>232</v>
      </c>
    </row>
    <row r="1923">
      <c r="J1923" s="79" t="s">
        <v>2306</v>
      </c>
      <c r="K1923" t="str">
        <f>B69</f>
        <v>S4~</v>
      </c>
      <c r="N1923" s="79">
        <v>7959834.0</v>
      </c>
      <c r="O1923" s="79">
        <v>8091793.0</v>
      </c>
      <c r="P1923" s="79" t="s">
        <v>219</v>
      </c>
    </row>
    <row r="1924">
      <c r="J1924" s="79" t="s">
        <v>2307</v>
      </c>
      <c r="K1924" t="str">
        <f>B69</f>
        <v>S4~</v>
      </c>
      <c r="N1924" s="79">
        <v>8070849.0</v>
      </c>
      <c r="O1924" s="79">
        <v>8202808.0</v>
      </c>
      <c r="P1924" s="79" t="s">
        <v>232</v>
      </c>
    </row>
    <row r="1925">
      <c r="J1925" s="79" t="s">
        <v>2308</v>
      </c>
      <c r="K1925" t="str">
        <f>B69</f>
        <v>S4~</v>
      </c>
      <c r="N1925" s="79">
        <v>8124169.0</v>
      </c>
      <c r="O1925" s="79">
        <v>8256128.0</v>
      </c>
      <c r="P1925" s="79" t="s">
        <v>232</v>
      </c>
    </row>
    <row r="1926">
      <c r="J1926" s="79" t="s">
        <v>2309</v>
      </c>
      <c r="K1926" t="str">
        <f>B69</f>
        <v>S4~</v>
      </c>
      <c r="N1926" s="79">
        <v>8132108.0</v>
      </c>
      <c r="O1926" s="79">
        <v>8264067.0</v>
      </c>
      <c r="P1926" s="79" t="s">
        <v>285</v>
      </c>
    </row>
    <row r="1927">
      <c r="J1927" s="79" t="s">
        <v>2310</v>
      </c>
      <c r="K1927" t="str">
        <f>B69</f>
        <v>S4~</v>
      </c>
      <c r="N1927" s="79">
        <v>8191565.0</v>
      </c>
      <c r="O1927" s="79">
        <v>8323524.0</v>
      </c>
      <c r="P1927" s="79" t="s">
        <v>216</v>
      </c>
    </row>
    <row r="1928">
      <c r="J1928" s="79" t="s">
        <v>2311</v>
      </c>
      <c r="K1928" t="str">
        <f>B69</f>
        <v>S4~</v>
      </c>
      <c r="N1928" s="79">
        <v>8194248.0</v>
      </c>
      <c r="O1928" s="79">
        <v>8326207.0</v>
      </c>
      <c r="P1928" s="79" t="s">
        <v>232</v>
      </c>
    </row>
    <row r="1929">
      <c r="J1929" s="79" t="s">
        <v>2312</v>
      </c>
      <c r="K1929" t="str">
        <f>B69</f>
        <v>S4~</v>
      </c>
      <c r="N1929" s="79">
        <v>8226825.0</v>
      </c>
      <c r="O1929" s="79">
        <v>8358784.0</v>
      </c>
      <c r="P1929" s="79" t="s">
        <v>221</v>
      </c>
    </row>
    <row r="1930">
      <c r="J1930" s="79" t="s">
        <v>2313</v>
      </c>
      <c r="K1930" t="str">
        <f>B69</f>
        <v>S4~</v>
      </c>
      <c r="N1930" s="79">
        <v>8249831.0</v>
      </c>
      <c r="O1930" s="79">
        <v>8381790.0</v>
      </c>
      <c r="P1930" s="79" t="s">
        <v>302</v>
      </c>
    </row>
    <row r="1931">
      <c r="J1931" s="79" t="s">
        <v>2314</v>
      </c>
      <c r="K1931" t="str">
        <f>B69</f>
        <v>S4~</v>
      </c>
      <c r="N1931" s="79">
        <v>8318694.0</v>
      </c>
      <c r="O1931" s="79">
        <v>8450653.0</v>
      </c>
      <c r="P1931" s="79" t="s">
        <v>235</v>
      </c>
    </row>
    <row r="1932">
      <c r="J1932" s="79" t="s">
        <v>2315</v>
      </c>
      <c r="K1932" t="str">
        <f>B69</f>
        <v>S4~</v>
      </c>
      <c r="N1932" s="79">
        <v>8398725.0</v>
      </c>
      <c r="O1932" s="79">
        <v>8530684.0</v>
      </c>
      <c r="P1932" s="79" t="s">
        <v>219</v>
      </c>
    </row>
    <row r="1933">
      <c r="J1933" s="79" t="s">
        <v>2316</v>
      </c>
      <c r="K1933" t="str">
        <f>B69</f>
        <v>S4~</v>
      </c>
      <c r="N1933" s="79">
        <v>8415997.0</v>
      </c>
      <c r="O1933" s="79">
        <v>8547956.0</v>
      </c>
      <c r="P1933" s="79" t="s">
        <v>255</v>
      </c>
    </row>
    <row r="1934">
      <c r="J1934" s="79" t="s">
        <v>2317</v>
      </c>
      <c r="K1934" t="str">
        <f>B69</f>
        <v>S4~</v>
      </c>
      <c r="N1934" s="79">
        <v>8448429.0</v>
      </c>
      <c r="O1934" s="79">
        <v>8580388.0</v>
      </c>
      <c r="P1934" s="79" t="s">
        <v>221</v>
      </c>
    </row>
    <row r="1935">
      <c r="J1935" s="79" t="s">
        <v>2318</v>
      </c>
      <c r="K1935" t="str">
        <f>B69</f>
        <v>S4~</v>
      </c>
      <c r="N1935" s="79">
        <v>8494555.0</v>
      </c>
      <c r="O1935" s="79">
        <v>8626514.0</v>
      </c>
      <c r="P1935" s="79" t="s">
        <v>232</v>
      </c>
    </row>
    <row r="1936">
      <c r="J1936" s="79" t="s">
        <v>2319</v>
      </c>
      <c r="K1936" t="str">
        <f>B69</f>
        <v>S4~</v>
      </c>
      <c r="N1936" s="79">
        <v>8514410.0</v>
      </c>
      <c r="O1936" s="79">
        <v>8646369.0</v>
      </c>
      <c r="P1936" s="79" t="s">
        <v>221</v>
      </c>
    </row>
    <row r="1937">
      <c r="J1937" s="79" t="s">
        <v>2320</v>
      </c>
      <c r="K1937" t="str">
        <f>B69</f>
        <v>S4~</v>
      </c>
      <c r="M1937" s="79" t="s">
        <v>2321</v>
      </c>
      <c r="N1937" s="79">
        <v>8522217.0</v>
      </c>
      <c r="O1937" s="79">
        <v>8654176.0</v>
      </c>
      <c r="P1937" s="79" t="s">
        <v>221</v>
      </c>
    </row>
    <row r="1938">
      <c r="J1938" s="79" t="s">
        <v>2322</v>
      </c>
      <c r="K1938" t="str">
        <f>B69</f>
        <v>S4~</v>
      </c>
      <c r="N1938" s="79">
        <v>8595294.0</v>
      </c>
      <c r="O1938" s="79">
        <v>8727253.0</v>
      </c>
      <c r="P1938" s="79" t="s">
        <v>283</v>
      </c>
    </row>
    <row r="1939">
      <c r="J1939" s="79" t="s">
        <v>2323</v>
      </c>
      <c r="K1939" t="str">
        <f>B69</f>
        <v>S4~</v>
      </c>
      <c r="N1939" s="79">
        <v>8605487.0</v>
      </c>
      <c r="O1939" s="79">
        <v>8737446.0</v>
      </c>
      <c r="P1939" s="79" t="s">
        <v>219</v>
      </c>
    </row>
    <row r="1940">
      <c r="J1940" s="79" t="s">
        <v>2324</v>
      </c>
      <c r="K1940" t="str">
        <f>B69</f>
        <v>S4~</v>
      </c>
      <c r="N1940" s="79">
        <v>8649470.0</v>
      </c>
      <c r="O1940" s="79">
        <v>8781429.0</v>
      </c>
      <c r="P1940" s="79" t="s">
        <v>221</v>
      </c>
    </row>
    <row r="1941">
      <c r="J1941" s="79" t="s">
        <v>2325</v>
      </c>
      <c r="K1941" t="str">
        <f>B69</f>
        <v>S4~</v>
      </c>
      <c r="N1941" s="79">
        <v>8658831.0</v>
      </c>
      <c r="O1941" s="79">
        <v>8790790.0</v>
      </c>
      <c r="P1941" s="79" t="s">
        <v>302</v>
      </c>
    </row>
    <row r="1942">
      <c r="J1942" s="79" t="s">
        <v>2326</v>
      </c>
      <c r="K1942" t="str">
        <f>B69</f>
        <v>S4~</v>
      </c>
      <c r="N1942" s="79">
        <v>8742022.0</v>
      </c>
      <c r="O1942" s="79">
        <v>8873981.0</v>
      </c>
      <c r="P1942" s="79" t="s">
        <v>221</v>
      </c>
    </row>
    <row r="1943">
      <c r="J1943" s="79" t="s">
        <v>2327</v>
      </c>
      <c r="K1943" t="str">
        <f>B69</f>
        <v>S4~</v>
      </c>
      <c r="N1943" s="79">
        <v>8852789.0</v>
      </c>
      <c r="O1943" s="79">
        <v>8984748.0</v>
      </c>
      <c r="P1943" s="79" t="s">
        <v>285</v>
      </c>
    </row>
    <row r="1944">
      <c r="J1944" s="79" t="s">
        <v>2328</v>
      </c>
      <c r="K1944" t="str">
        <f>B69</f>
        <v>S4~</v>
      </c>
      <c r="N1944" s="79">
        <v>8880942.0</v>
      </c>
      <c r="O1944" s="79">
        <v>9012901.0</v>
      </c>
      <c r="P1944" s="79" t="s">
        <v>221</v>
      </c>
    </row>
    <row r="1945">
      <c r="J1945" s="79" t="s">
        <v>2329</v>
      </c>
      <c r="K1945" t="str">
        <f>B69</f>
        <v>S4~</v>
      </c>
      <c r="N1945" s="79">
        <v>8881781.0</v>
      </c>
      <c r="O1945" s="79">
        <v>9013740.0</v>
      </c>
      <c r="P1945" s="79" t="s">
        <v>216</v>
      </c>
    </row>
    <row r="1946">
      <c r="J1946" s="79" t="s">
        <v>2330</v>
      </c>
      <c r="K1946" t="str">
        <f>B69</f>
        <v>S4~</v>
      </c>
      <c r="N1946" s="79">
        <v>8909029.0</v>
      </c>
      <c r="O1946" s="79">
        <v>9040988.0</v>
      </c>
      <c r="P1946" s="79" t="s">
        <v>216</v>
      </c>
    </row>
    <row r="1947">
      <c r="J1947" s="79" t="s">
        <v>2331</v>
      </c>
      <c r="K1947" t="str">
        <f>B69</f>
        <v>S4~</v>
      </c>
      <c r="N1947" s="79">
        <v>9041576.0</v>
      </c>
      <c r="O1947" s="79">
        <v>9203967.0</v>
      </c>
      <c r="P1947" s="79" t="s">
        <v>229</v>
      </c>
    </row>
    <row r="1948">
      <c r="J1948" s="79" t="s">
        <v>2332</v>
      </c>
      <c r="K1948" t="str">
        <f>B69</f>
        <v>S4~</v>
      </c>
      <c r="N1948" s="79">
        <v>9059033.0</v>
      </c>
      <c r="O1948" s="79">
        <v>9221424.0</v>
      </c>
      <c r="P1948" s="79" t="s">
        <v>302</v>
      </c>
    </row>
    <row r="1949">
      <c r="J1949" s="79" t="s">
        <v>2333</v>
      </c>
      <c r="K1949" t="str">
        <f>B69</f>
        <v>S4~</v>
      </c>
      <c r="N1949" s="79">
        <v>9129859.0</v>
      </c>
      <c r="O1949" s="79">
        <v>9292250.0</v>
      </c>
      <c r="P1949" s="79" t="s">
        <v>232</v>
      </c>
    </row>
    <row r="1950">
      <c r="J1950" s="79" t="s">
        <v>2334</v>
      </c>
      <c r="K1950" t="str">
        <f>B69</f>
        <v>S4~</v>
      </c>
      <c r="N1950" s="79">
        <v>9169952.0</v>
      </c>
      <c r="O1950" s="79">
        <v>9332343.0</v>
      </c>
      <c r="P1950" s="79" t="s">
        <v>242</v>
      </c>
    </row>
    <row r="1951">
      <c r="J1951" s="79" t="s">
        <v>2335</v>
      </c>
      <c r="K1951" t="str">
        <f>B69</f>
        <v>S4~</v>
      </c>
      <c r="N1951" s="79">
        <v>9384899.0</v>
      </c>
      <c r="O1951" s="79">
        <v>9547290.0</v>
      </c>
      <c r="P1951" s="79" t="s">
        <v>221</v>
      </c>
    </row>
    <row r="1952">
      <c r="J1952" s="79" t="s">
        <v>2336</v>
      </c>
      <c r="K1952" t="str">
        <f>B69</f>
        <v>S4~</v>
      </c>
      <c r="N1952" s="79">
        <v>9438009.0</v>
      </c>
      <c r="O1952" s="79">
        <v>9600400.0</v>
      </c>
      <c r="P1952" s="79" t="s">
        <v>216</v>
      </c>
    </row>
    <row r="1953">
      <c r="J1953" s="79" t="s">
        <v>2337</v>
      </c>
      <c r="K1953" t="str">
        <f>B69</f>
        <v>S4~</v>
      </c>
      <c r="N1953" s="79">
        <v>9870309.0</v>
      </c>
      <c r="O1953" s="79">
        <v>1.00327E7</v>
      </c>
      <c r="P1953" s="79" t="s">
        <v>242</v>
      </c>
    </row>
    <row r="1954">
      <c r="J1954" s="79" t="s">
        <v>2338</v>
      </c>
      <c r="K1954" t="str">
        <f>B69</f>
        <v>S4~</v>
      </c>
      <c r="N1954" s="79">
        <v>9898637.0</v>
      </c>
      <c r="O1954" s="79">
        <v>1.0061028E7</v>
      </c>
      <c r="P1954" s="79" t="s">
        <v>224</v>
      </c>
    </row>
    <row r="1955">
      <c r="J1955" s="79" t="s">
        <v>2339</v>
      </c>
      <c r="K1955" t="str">
        <f>B69</f>
        <v>S4~</v>
      </c>
      <c r="N1955" s="79">
        <v>9906305.0</v>
      </c>
      <c r="O1955" s="79">
        <v>1.0068696E7</v>
      </c>
      <c r="P1955" s="79" t="s">
        <v>232</v>
      </c>
    </row>
    <row r="1956">
      <c r="J1956" s="79" t="s">
        <v>2340</v>
      </c>
      <c r="K1956" t="str">
        <f>B69</f>
        <v>S4~</v>
      </c>
      <c r="N1956" s="79">
        <v>1.3862935E7</v>
      </c>
      <c r="O1956" s="79">
        <v>1.1742229E7</v>
      </c>
      <c r="P1956" s="79" t="s">
        <v>229</v>
      </c>
    </row>
    <row r="1957">
      <c r="J1957" s="79" t="s">
        <v>2341</v>
      </c>
      <c r="K1957" t="str">
        <f>B69</f>
        <v>S4~</v>
      </c>
      <c r="N1957" s="79">
        <v>1.3891249E7</v>
      </c>
      <c r="O1957" s="79">
        <v>1.1770543E7</v>
      </c>
      <c r="P1957" s="79" t="s">
        <v>255</v>
      </c>
    </row>
    <row r="1958">
      <c r="J1958" s="79" t="s">
        <v>2342</v>
      </c>
      <c r="K1958" t="str">
        <f>B69</f>
        <v>S4~</v>
      </c>
      <c r="N1958" s="79">
        <v>1.40814E7</v>
      </c>
      <c r="O1958" s="79">
        <v>1.1960694E7</v>
      </c>
      <c r="P1958" s="79" t="s">
        <v>232</v>
      </c>
    </row>
    <row r="1959">
      <c r="J1959" s="79" t="s">
        <v>2343</v>
      </c>
      <c r="K1959" t="str">
        <f>B69</f>
        <v>S4~</v>
      </c>
      <c r="N1959" s="79">
        <v>1.4125224E7</v>
      </c>
      <c r="O1959" s="79">
        <v>1.2004518E7</v>
      </c>
      <c r="P1959" s="79" t="s">
        <v>232</v>
      </c>
    </row>
    <row r="1960">
      <c r="J1960" s="79" t="s">
        <v>2344</v>
      </c>
      <c r="K1960" t="str">
        <f>B69</f>
        <v>S4~</v>
      </c>
      <c r="N1960" s="79">
        <v>1.4146468E7</v>
      </c>
      <c r="O1960" s="79">
        <v>1.2025762E7</v>
      </c>
      <c r="P1960" s="79" t="s">
        <v>285</v>
      </c>
    </row>
    <row r="1961">
      <c r="J1961" s="79" t="s">
        <v>2345</v>
      </c>
      <c r="K1961" t="str">
        <f>B69</f>
        <v>S4~</v>
      </c>
      <c r="N1961" s="79">
        <v>1.4222914E7</v>
      </c>
      <c r="O1961" s="79">
        <v>1.2102208E7</v>
      </c>
      <c r="P1961" s="79" t="s">
        <v>221</v>
      </c>
    </row>
    <row r="1962">
      <c r="J1962" s="79" t="s">
        <v>2346</v>
      </c>
      <c r="K1962" t="str">
        <f>B69</f>
        <v>S4~</v>
      </c>
      <c r="N1962" s="79">
        <v>1.433589E7</v>
      </c>
      <c r="O1962" s="79">
        <v>1.2215185E7</v>
      </c>
      <c r="P1962" s="79" t="s">
        <v>221</v>
      </c>
    </row>
    <row r="1963">
      <c r="J1963" s="79" t="s">
        <v>2347</v>
      </c>
      <c r="K1963" t="str">
        <f>B69</f>
        <v>S4~</v>
      </c>
      <c r="N1963" s="79">
        <v>1.4351638E7</v>
      </c>
      <c r="O1963" s="79">
        <v>1.2230933E7</v>
      </c>
      <c r="P1963" s="79" t="s">
        <v>242</v>
      </c>
    </row>
    <row r="1964">
      <c r="J1964" s="79" t="s">
        <v>2348</v>
      </c>
      <c r="K1964" t="str">
        <f>B69</f>
        <v>S4~</v>
      </c>
      <c r="N1964" s="79">
        <v>1.4374935E7</v>
      </c>
      <c r="O1964" s="79">
        <v>1.2254231E7</v>
      </c>
      <c r="P1964" s="79" t="s">
        <v>232</v>
      </c>
    </row>
    <row r="1965">
      <c r="J1965" s="79" t="s">
        <v>2349</v>
      </c>
      <c r="K1965" t="str">
        <f>B69</f>
        <v>S4~</v>
      </c>
      <c r="N1965" s="79">
        <v>1.4611917E7</v>
      </c>
      <c r="O1965" s="79">
        <v>1.2500123E7</v>
      </c>
      <c r="P1965" s="79" t="s">
        <v>219</v>
      </c>
    </row>
    <row r="1966">
      <c r="J1966" s="79" t="s">
        <v>2350</v>
      </c>
      <c r="K1966" t="str">
        <f>B69</f>
        <v>S4~</v>
      </c>
      <c r="N1966" s="79">
        <v>1.4663844E7</v>
      </c>
      <c r="O1966" s="79">
        <v>1.2551909E7</v>
      </c>
      <c r="P1966" s="79" t="s">
        <v>302</v>
      </c>
    </row>
    <row r="1967">
      <c r="J1967" s="79" t="s">
        <v>2351</v>
      </c>
      <c r="K1967" t="str">
        <f>B69</f>
        <v>S4~</v>
      </c>
      <c r="N1967" s="79">
        <v>1.4713344E7</v>
      </c>
      <c r="O1967" s="79">
        <v>1.2601411E7</v>
      </c>
      <c r="P1967" s="79" t="s">
        <v>232</v>
      </c>
    </row>
    <row r="1968">
      <c r="J1968" s="79" t="s">
        <v>2352</v>
      </c>
      <c r="K1968" t="str">
        <f>B69</f>
        <v>S4~</v>
      </c>
      <c r="N1968" s="79">
        <v>1.4782586E7</v>
      </c>
      <c r="O1968" s="79">
        <v>1.2670656E7</v>
      </c>
      <c r="P1968" s="79" t="s">
        <v>216</v>
      </c>
    </row>
    <row r="1969">
      <c r="J1969" s="79" t="s">
        <v>2353</v>
      </c>
      <c r="K1969" t="str">
        <f>B69</f>
        <v>S4~</v>
      </c>
      <c r="N1969" s="79">
        <v>1.4826079E7</v>
      </c>
      <c r="O1969" s="79">
        <v>1.2714146E7</v>
      </c>
      <c r="P1969" s="79" t="s">
        <v>221</v>
      </c>
    </row>
    <row r="1970">
      <c r="J1970" s="79" t="s">
        <v>2354</v>
      </c>
      <c r="K1970" t="str">
        <f>B69</f>
        <v>S4~</v>
      </c>
      <c r="N1970" s="79">
        <v>1.4977585E7</v>
      </c>
      <c r="O1970" s="79">
        <v>1.286566E7</v>
      </c>
      <c r="P1970" s="79" t="s">
        <v>229</v>
      </c>
    </row>
    <row r="1971">
      <c r="J1971" s="79" t="s">
        <v>2355</v>
      </c>
      <c r="K1971" t="str">
        <f>B69</f>
        <v>S4~</v>
      </c>
      <c r="N1971" s="79">
        <v>1.5037383E7</v>
      </c>
      <c r="O1971" s="79">
        <v>1.2925471E7</v>
      </c>
      <c r="P1971" s="79" t="s">
        <v>216</v>
      </c>
    </row>
    <row r="1972">
      <c r="J1972" s="79" t="s">
        <v>2356</v>
      </c>
      <c r="K1972" t="str">
        <f>B69</f>
        <v>S4~</v>
      </c>
      <c r="N1972" s="79">
        <v>1.5124224E7</v>
      </c>
      <c r="O1972" s="79">
        <v>1.3012311E7</v>
      </c>
      <c r="P1972" s="79" t="s">
        <v>221</v>
      </c>
    </row>
    <row r="1973">
      <c r="J1973" s="79" t="s">
        <v>2357</v>
      </c>
      <c r="K1973" t="str">
        <f>B69</f>
        <v>S4~</v>
      </c>
      <c r="N1973" s="79">
        <v>1.5164015E7</v>
      </c>
      <c r="O1973" s="79">
        <v>1.3052101E7</v>
      </c>
      <c r="P1973" s="79" t="s">
        <v>221</v>
      </c>
    </row>
    <row r="1974">
      <c r="J1974" s="79" t="s">
        <v>2358</v>
      </c>
      <c r="K1974" t="str">
        <f>B69</f>
        <v>S4~</v>
      </c>
      <c r="N1974" s="79">
        <v>1.516483E7</v>
      </c>
      <c r="O1974" s="79">
        <v>1.3052916E7</v>
      </c>
      <c r="P1974" s="79" t="s">
        <v>219</v>
      </c>
    </row>
    <row r="1975">
      <c r="J1975" s="79" t="s">
        <v>2359</v>
      </c>
      <c r="K1975" t="str">
        <f>B69</f>
        <v>S4~</v>
      </c>
      <c r="N1975" s="79">
        <v>1.5229939E7</v>
      </c>
      <c r="O1975" s="79">
        <v>1.3118025E7</v>
      </c>
      <c r="P1975" s="79" t="s">
        <v>255</v>
      </c>
    </row>
    <row r="1976">
      <c r="J1976" s="79" t="s">
        <v>2360</v>
      </c>
      <c r="K1976" t="str">
        <f>B69</f>
        <v>S4~</v>
      </c>
      <c r="N1976" s="79">
        <v>1.5237141E7</v>
      </c>
      <c r="O1976" s="79">
        <v>1.3125227E7</v>
      </c>
      <c r="P1976" s="79" t="s">
        <v>242</v>
      </c>
    </row>
    <row r="1977">
      <c r="J1977" s="79" t="s">
        <v>2361</v>
      </c>
      <c r="K1977" t="str">
        <f>B69</f>
        <v>S4~</v>
      </c>
      <c r="N1977" s="79">
        <v>1.5252256E7</v>
      </c>
      <c r="O1977" s="79">
        <v>1.3140342E7</v>
      </c>
      <c r="P1977" s="79" t="s">
        <v>219</v>
      </c>
    </row>
    <row r="1978">
      <c r="J1978" s="79" t="s">
        <v>2362</v>
      </c>
      <c r="K1978" t="str">
        <f>B69</f>
        <v>S4~</v>
      </c>
      <c r="M1978" s="79" t="s">
        <v>2363</v>
      </c>
      <c r="N1978" s="79">
        <v>1.5264033E7</v>
      </c>
      <c r="O1978" s="79">
        <v>1.3152123E7</v>
      </c>
      <c r="P1978" s="79" t="s">
        <v>255</v>
      </c>
    </row>
    <row r="1979">
      <c r="J1979" s="79" t="s">
        <v>2364</v>
      </c>
      <c r="K1979" t="str">
        <f>B69</f>
        <v>S4~</v>
      </c>
      <c r="N1979" s="79">
        <v>1.5346391E7</v>
      </c>
      <c r="O1979" s="79">
        <v>1.323451E7</v>
      </c>
      <c r="P1979" s="79" t="s">
        <v>229</v>
      </c>
    </row>
    <row r="1980">
      <c r="J1980" s="79" t="s">
        <v>2365</v>
      </c>
      <c r="K1980" t="str">
        <f>B69</f>
        <v>S4~</v>
      </c>
      <c r="N1980" s="79">
        <v>1.5388996E7</v>
      </c>
      <c r="O1980" s="79">
        <v>1.3277116E7</v>
      </c>
      <c r="P1980" s="79" t="s">
        <v>221</v>
      </c>
    </row>
    <row r="1981">
      <c r="J1981" s="79" t="s">
        <v>2366</v>
      </c>
      <c r="K1981" t="str">
        <f>B69</f>
        <v>S4~</v>
      </c>
      <c r="N1981" s="79">
        <v>1.5491777E7</v>
      </c>
      <c r="O1981" s="79">
        <v>1.3379897E7</v>
      </c>
      <c r="P1981" s="79" t="s">
        <v>232</v>
      </c>
    </row>
    <row r="1982">
      <c r="J1982" s="79" t="s">
        <v>2367</v>
      </c>
      <c r="K1982" t="str">
        <f>B69</f>
        <v>S4~</v>
      </c>
      <c r="N1982" s="79">
        <v>1.5539135E7</v>
      </c>
      <c r="O1982" s="79">
        <v>1.3427255E7</v>
      </c>
      <c r="P1982" s="79" t="s">
        <v>302</v>
      </c>
    </row>
    <row r="1983">
      <c r="J1983" s="79" t="s">
        <v>2368</v>
      </c>
      <c r="K1983" t="str">
        <f>B69</f>
        <v>S4~</v>
      </c>
      <c r="N1983" s="79">
        <v>1.5579724E7</v>
      </c>
      <c r="O1983" s="79">
        <v>1.3467844E7</v>
      </c>
      <c r="P1983" s="79" t="s">
        <v>221</v>
      </c>
    </row>
    <row r="1984">
      <c r="J1984" s="79" t="s">
        <v>2369</v>
      </c>
      <c r="K1984" t="str">
        <f>B69</f>
        <v>S4~</v>
      </c>
      <c r="N1984" s="79">
        <v>1.5634315E7</v>
      </c>
      <c r="O1984" s="79">
        <v>1.3522435E7</v>
      </c>
      <c r="P1984" s="79" t="s">
        <v>221</v>
      </c>
    </row>
    <row r="1985">
      <c r="J1985" s="79" t="s">
        <v>2370</v>
      </c>
      <c r="K1985" t="str">
        <f>B69</f>
        <v>S4~</v>
      </c>
      <c r="N1985" s="79">
        <v>1.5707556E7</v>
      </c>
      <c r="O1985" s="79">
        <v>1.3595676E7</v>
      </c>
      <c r="P1985" s="79" t="s">
        <v>221</v>
      </c>
    </row>
    <row r="1986">
      <c r="J1986" s="79" t="s">
        <v>2371</v>
      </c>
      <c r="K1986" t="str">
        <f>B69</f>
        <v>S4~</v>
      </c>
      <c r="N1986" s="79">
        <v>1.5735305E7</v>
      </c>
      <c r="O1986" s="79">
        <v>1.3623425E7</v>
      </c>
      <c r="P1986" s="79" t="s">
        <v>219</v>
      </c>
    </row>
    <row r="1987">
      <c r="J1987" s="79" t="s">
        <v>2372</v>
      </c>
      <c r="K1987" t="str">
        <f>B69</f>
        <v>S4~</v>
      </c>
      <c r="N1987" s="79">
        <v>1.5751082E7</v>
      </c>
      <c r="O1987" s="79">
        <v>1.3639202E7</v>
      </c>
      <c r="P1987" s="79" t="s">
        <v>255</v>
      </c>
    </row>
    <row r="1988">
      <c r="J1988" s="79" t="s">
        <v>2373</v>
      </c>
      <c r="K1988" t="str">
        <f>B69</f>
        <v>S4~</v>
      </c>
      <c r="N1988" s="79">
        <v>1.5766357E7</v>
      </c>
      <c r="O1988" s="79">
        <v>1.3654477E7</v>
      </c>
      <c r="P1988" s="79" t="s">
        <v>283</v>
      </c>
    </row>
    <row r="1989">
      <c r="J1989" s="79" t="s">
        <v>2374</v>
      </c>
      <c r="K1989" t="str">
        <f>B69</f>
        <v>S4~</v>
      </c>
      <c r="N1989" s="79">
        <v>1.5780652E7</v>
      </c>
      <c r="O1989" s="79">
        <v>1.3668772E7</v>
      </c>
      <c r="P1989" s="79" t="s">
        <v>219</v>
      </c>
    </row>
    <row r="1990">
      <c r="J1990" s="79" t="s">
        <v>2375</v>
      </c>
      <c r="K1990" t="str">
        <f>B69</f>
        <v>S4~</v>
      </c>
      <c r="N1990" s="79">
        <v>1.5907635E7</v>
      </c>
      <c r="O1990" s="79">
        <v>1.3795755E7</v>
      </c>
      <c r="P1990" s="79" t="s">
        <v>221</v>
      </c>
    </row>
    <row r="1991">
      <c r="J1991" s="79" t="s">
        <v>2376</v>
      </c>
      <c r="K1991" t="str">
        <f>B69</f>
        <v>S4~</v>
      </c>
      <c r="N1991" s="79">
        <v>1.5925679E7</v>
      </c>
      <c r="O1991" s="79">
        <v>1.3813799E7</v>
      </c>
      <c r="P1991" s="79" t="s">
        <v>232</v>
      </c>
    </row>
    <row r="1992">
      <c r="J1992" s="79" t="s">
        <v>2377</v>
      </c>
      <c r="K1992" t="str">
        <f>B69</f>
        <v>S4~</v>
      </c>
      <c r="N1992" s="79">
        <v>1.5954654E7</v>
      </c>
      <c r="O1992" s="79">
        <v>1.3842774E7</v>
      </c>
      <c r="P1992" s="79" t="s">
        <v>232</v>
      </c>
    </row>
    <row r="1993">
      <c r="J1993" s="79" t="s">
        <v>2378</v>
      </c>
      <c r="K1993" t="str">
        <f>B69</f>
        <v>S4~</v>
      </c>
      <c r="N1993" s="79">
        <v>1.6042534E7</v>
      </c>
      <c r="O1993" s="79">
        <v>1.3930654E7</v>
      </c>
      <c r="P1993" s="79" t="s">
        <v>242</v>
      </c>
    </row>
    <row r="1994">
      <c r="J1994" s="79" t="s">
        <v>2379</v>
      </c>
      <c r="K1994" t="str">
        <f>B69</f>
        <v>S4~</v>
      </c>
      <c r="N1994" s="79">
        <v>1.613305E7</v>
      </c>
      <c r="O1994" s="79">
        <v>1.402117E7</v>
      </c>
      <c r="P1994" s="79" t="s">
        <v>232</v>
      </c>
    </row>
    <row r="1995">
      <c r="J1995" s="79" t="s">
        <v>2380</v>
      </c>
      <c r="K1995" t="str">
        <f>B69</f>
        <v>S4~</v>
      </c>
      <c r="N1995" s="79">
        <v>1.6251537E7</v>
      </c>
      <c r="O1995" s="79">
        <v>1.4139657E7</v>
      </c>
      <c r="P1995" s="79" t="s">
        <v>221</v>
      </c>
    </row>
    <row r="1996">
      <c r="J1996" s="79" t="s">
        <v>2381</v>
      </c>
      <c r="K1996" t="str">
        <f>B69</f>
        <v>S4~</v>
      </c>
      <c r="N1996" s="79">
        <v>1.6340026E7</v>
      </c>
      <c r="O1996" s="79">
        <v>1.4228146E7</v>
      </c>
      <c r="P1996" s="79" t="s">
        <v>232</v>
      </c>
    </row>
    <row r="1997">
      <c r="J1997" s="79" t="s">
        <v>2382</v>
      </c>
      <c r="K1997" t="str">
        <f>B69</f>
        <v>S4~</v>
      </c>
      <c r="N1997" s="79">
        <v>1.6448904E7</v>
      </c>
      <c r="O1997" s="79">
        <v>1.4337024E7</v>
      </c>
      <c r="P1997" s="79" t="s">
        <v>232</v>
      </c>
    </row>
    <row r="1998">
      <c r="J1998" s="79" t="s">
        <v>2383</v>
      </c>
      <c r="K1998" t="str">
        <f>B69</f>
        <v>S4~</v>
      </c>
      <c r="N1998" s="79">
        <v>1.644966E7</v>
      </c>
      <c r="O1998" s="79">
        <v>1.433778E7</v>
      </c>
      <c r="P1998" s="79" t="s">
        <v>221</v>
      </c>
    </row>
    <row r="1999">
      <c r="J1999" s="79" t="s">
        <v>2384</v>
      </c>
      <c r="K1999" t="str">
        <f>B69</f>
        <v>S4~</v>
      </c>
      <c r="N1999" s="79">
        <v>1.6525836E7</v>
      </c>
      <c r="O1999" s="79">
        <v>1.4413956E7</v>
      </c>
      <c r="P1999" s="79" t="s">
        <v>235</v>
      </c>
    </row>
    <row r="2000">
      <c r="J2000" s="79" t="s">
        <v>2385</v>
      </c>
      <c r="K2000" t="str">
        <f>B69</f>
        <v>S4~</v>
      </c>
      <c r="N2000" s="79">
        <v>1.6533954E7</v>
      </c>
      <c r="O2000" s="79">
        <v>1.4422074E7</v>
      </c>
      <c r="P2000" s="79" t="s">
        <v>285</v>
      </c>
    </row>
    <row r="2001">
      <c r="J2001" s="79" t="s">
        <v>2386</v>
      </c>
      <c r="K2001" t="str">
        <f>B69</f>
        <v>S4~</v>
      </c>
      <c r="N2001" s="79">
        <v>1.6577182E7</v>
      </c>
      <c r="O2001" s="79">
        <v>1.4465302E7</v>
      </c>
      <c r="P2001" s="79" t="s">
        <v>219</v>
      </c>
    </row>
    <row r="2002">
      <c r="J2002" s="79" t="s">
        <v>2387</v>
      </c>
      <c r="K2002" t="str">
        <f>B69</f>
        <v>S4~</v>
      </c>
      <c r="N2002" s="79">
        <v>1.6670629E7</v>
      </c>
      <c r="O2002" s="79">
        <v>1.4558749E7</v>
      </c>
      <c r="P2002" s="79" t="s">
        <v>221</v>
      </c>
    </row>
    <row r="2003">
      <c r="J2003" s="79" t="s">
        <v>2388</v>
      </c>
      <c r="K2003" t="str">
        <f>B69</f>
        <v>S4~</v>
      </c>
      <c r="N2003" s="79">
        <v>1.6694053E7</v>
      </c>
      <c r="O2003" s="79">
        <v>1.4582173E7</v>
      </c>
      <c r="P2003" s="79" t="s">
        <v>216</v>
      </c>
    </row>
    <row r="2004">
      <c r="J2004" s="79" t="s">
        <v>2389</v>
      </c>
      <c r="K2004" t="str">
        <f>B69</f>
        <v>S4~</v>
      </c>
      <c r="N2004" s="79">
        <v>1.6694094E7</v>
      </c>
      <c r="O2004" s="79">
        <v>1.4582214E7</v>
      </c>
      <c r="P2004" s="79" t="s">
        <v>216</v>
      </c>
    </row>
    <row r="2005">
      <c r="J2005" s="79" t="s">
        <v>2390</v>
      </c>
      <c r="K2005" t="str">
        <f>B69</f>
        <v>S4~</v>
      </c>
      <c r="N2005" s="79">
        <v>1.6694121E7</v>
      </c>
      <c r="O2005" s="79">
        <v>1.4582241E7</v>
      </c>
      <c r="P2005" s="79" t="s">
        <v>229</v>
      </c>
    </row>
    <row r="2006">
      <c r="J2006" s="79" t="s">
        <v>2391</v>
      </c>
      <c r="K2006" t="str">
        <f>B69</f>
        <v>S4~</v>
      </c>
      <c r="N2006" s="79">
        <v>1.6777407E7</v>
      </c>
      <c r="O2006" s="79">
        <v>1.4665527E7</v>
      </c>
      <c r="P2006" s="79" t="s">
        <v>219</v>
      </c>
    </row>
    <row r="2007">
      <c r="J2007" s="79" t="s">
        <v>2392</v>
      </c>
      <c r="K2007" t="str">
        <f>B69</f>
        <v>S4~</v>
      </c>
      <c r="N2007" s="79">
        <v>1.6871544E7</v>
      </c>
      <c r="O2007" s="79">
        <v>1.4759664E7</v>
      </c>
      <c r="P2007" s="79" t="s">
        <v>219</v>
      </c>
    </row>
    <row r="2008">
      <c r="J2008" s="79" t="s">
        <v>2393</v>
      </c>
      <c r="K2008" t="str">
        <f>B69</f>
        <v>S4~</v>
      </c>
      <c r="N2008" s="79">
        <v>1.6927088E7</v>
      </c>
      <c r="O2008" s="79">
        <v>1.4815208E7</v>
      </c>
      <c r="P2008" s="79" t="s">
        <v>302</v>
      </c>
    </row>
    <row r="2009">
      <c r="J2009" s="79" t="s">
        <v>2394</v>
      </c>
      <c r="K2009" t="str">
        <f>B69</f>
        <v>S4~</v>
      </c>
      <c r="N2009" s="79">
        <v>1.6955705E7</v>
      </c>
      <c r="O2009" s="79">
        <v>1.4843825E7</v>
      </c>
      <c r="P2009" s="79" t="s">
        <v>255</v>
      </c>
    </row>
    <row r="2010">
      <c r="J2010" s="79" t="s">
        <v>2395</v>
      </c>
      <c r="K2010" t="str">
        <f>B69</f>
        <v>S4~</v>
      </c>
      <c r="N2010" s="79">
        <v>1.6968894E7</v>
      </c>
      <c r="O2010" s="79">
        <v>1.4857014E7</v>
      </c>
      <c r="P2010" s="79" t="s">
        <v>232</v>
      </c>
    </row>
    <row r="2011">
      <c r="J2011" s="79" t="s">
        <v>2396</v>
      </c>
      <c r="K2011" t="str">
        <f>B69</f>
        <v>S4~</v>
      </c>
      <c r="N2011" s="79">
        <v>1.7076688E7</v>
      </c>
      <c r="O2011" s="79">
        <v>1.4964808E7</v>
      </c>
      <c r="P2011" s="79" t="s">
        <v>216</v>
      </c>
    </row>
    <row r="2012">
      <c r="J2012" s="79" t="s">
        <v>2397</v>
      </c>
      <c r="K2012" t="str">
        <f>B69</f>
        <v>S4~</v>
      </c>
      <c r="N2012" s="79">
        <v>1.7079912E7</v>
      </c>
      <c r="O2012" s="79">
        <v>1.4968032E7</v>
      </c>
      <c r="P2012" s="79" t="s">
        <v>242</v>
      </c>
    </row>
    <row r="2013">
      <c r="J2013" s="79" t="s">
        <v>2398</v>
      </c>
      <c r="K2013" t="str">
        <f>B69</f>
        <v>S4~</v>
      </c>
      <c r="N2013" s="79">
        <v>1.7093963E7</v>
      </c>
      <c r="O2013" s="79">
        <v>1.4982083E7</v>
      </c>
      <c r="P2013" s="79" t="s">
        <v>229</v>
      </c>
    </row>
    <row r="2014">
      <c r="J2014" s="79" t="s">
        <v>2399</v>
      </c>
      <c r="K2014" t="str">
        <f>B69</f>
        <v>S4~</v>
      </c>
      <c r="N2014" s="79">
        <v>1.7178213E7</v>
      </c>
      <c r="O2014" s="79">
        <v>1.5066333E7</v>
      </c>
      <c r="P2014" s="79" t="s">
        <v>302</v>
      </c>
    </row>
    <row r="2015">
      <c r="J2015" s="79" t="s">
        <v>2400</v>
      </c>
      <c r="K2015" t="str">
        <f>B69</f>
        <v>S4~</v>
      </c>
      <c r="N2015" s="79">
        <v>1.7288832E7</v>
      </c>
      <c r="O2015" s="79">
        <v>1.5176952E7</v>
      </c>
      <c r="P2015" s="79" t="s">
        <v>219</v>
      </c>
    </row>
    <row r="2016">
      <c r="J2016" s="79" t="s">
        <v>2401</v>
      </c>
      <c r="K2016" t="str">
        <f>B69</f>
        <v>S4~</v>
      </c>
      <c r="N2016" s="79">
        <v>1.7331889E7</v>
      </c>
      <c r="O2016" s="79">
        <v>1.5220009E7</v>
      </c>
      <c r="P2016" s="79" t="s">
        <v>302</v>
      </c>
    </row>
    <row r="2017">
      <c r="J2017" s="79" t="s">
        <v>2402</v>
      </c>
      <c r="K2017" t="str">
        <f>B69</f>
        <v>S4~</v>
      </c>
      <c r="N2017" s="79">
        <v>1.7351916E7</v>
      </c>
      <c r="O2017" s="79">
        <v>1.5240036E7</v>
      </c>
      <c r="P2017" s="79" t="s">
        <v>302</v>
      </c>
    </row>
    <row r="2018">
      <c r="J2018" s="79" t="s">
        <v>2403</v>
      </c>
      <c r="K2018" t="str">
        <f>B69</f>
        <v>S4~</v>
      </c>
      <c r="N2018" s="79">
        <v>1.7353881E7</v>
      </c>
      <c r="O2018" s="79">
        <v>1.5242001E7</v>
      </c>
      <c r="P2018" s="79" t="s">
        <v>216</v>
      </c>
    </row>
    <row r="2019">
      <c r="J2019" s="79" t="s">
        <v>2404</v>
      </c>
      <c r="K2019" t="str">
        <f>B69</f>
        <v>S4~</v>
      </c>
      <c r="N2019" s="79">
        <v>1.7396808E7</v>
      </c>
      <c r="O2019" s="79">
        <v>1.5284928E7</v>
      </c>
      <c r="P2019" s="79" t="s">
        <v>219</v>
      </c>
    </row>
    <row r="2020">
      <c r="J2020" s="79" t="s">
        <v>2405</v>
      </c>
      <c r="K2020" t="str">
        <f>B69</f>
        <v>S4~</v>
      </c>
      <c r="N2020" s="79">
        <v>1.7448792E7</v>
      </c>
      <c r="O2020" s="79">
        <v>1.5336912E7</v>
      </c>
      <c r="P2020" s="79" t="s">
        <v>219</v>
      </c>
    </row>
    <row r="2021">
      <c r="J2021" s="79" t="s">
        <v>2406</v>
      </c>
      <c r="K2021" t="str">
        <f>B69</f>
        <v>S4~</v>
      </c>
      <c r="N2021" s="79">
        <v>1.7493499E7</v>
      </c>
      <c r="O2021" s="79">
        <v>1.5381619E7</v>
      </c>
      <c r="P2021" s="79" t="s">
        <v>232</v>
      </c>
    </row>
    <row r="2022">
      <c r="J2022" s="79" t="s">
        <v>2407</v>
      </c>
      <c r="K2022" t="str">
        <f>B69</f>
        <v>S4~</v>
      </c>
      <c r="N2022" s="79">
        <v>1.7515058E7</v>
      </c>
      <c r="O2022" s="79">
        <v>1.5403178E7</v>
      </c>
      <c r="P2022" s="79" t="s">
        <v>219</v>
      </c>
    </row>
    <row r="2023">
      <c r="J2023" s="79" t="s">
        <v>2408</v>
      </c>
      <c r="K2023" t="str">
        <f>B69</f>
        <v>S4~</v>
      </c>
      <c r="N2023" s="79">
        <v>1.7552421E7</v>
      </c>
      <c r="O2023" s="79">
        <v>1.5440541E7</v>
      </c>
      <c r="P2023" s="79" t="s">
        <v>229</v>
      </c>
    </row>
    <row r="2024">
      <c r="J2024" s="79" t="s">
        <v>2409</v>
      </c>
      <c r="K2024" t="str">
        <f>B69</f>
        <v>S4~</v>
      </c>
      <c r="M2024" s="79" t="s">
        <v>2410</v>
      </c>
      <c r="N2024" s="79">
        <v>1.7599206E7</v>
      </c>
      <c r="O2024" s="79">
        <v>1.5487326E7</v>
      </c>
      <c r="P2024" s="79" t="s">
        <v>221</v>
      </c>
    </row>
    <row r="2025">
      <c r="J2025" s="79" t="s">
        <v>2411</v>
      </c>
      <c r="K2025" t="str">
        <f>B69</f>
        <v>S4~</v>
      </c>
      <c r="N2025" s="83">
        <v>1.7614722E7</v>
      </c>
      <c r="O2025" s="79">
        <v>1.5502842E7</v>
      </c>
      <c r="P2025" s="79" t="s">
        <v>229</v>
      </c>
    </row>
    <row r="2026">
      <c r="J2026" s="79" t="s">
        <v>2412</v>
      </c>
      <c r="K2026" t="str">
        <f>B69</f>
        <v>S4~</v>
      </c>
      <c r="N2026" s="79">
        <v>1.7679142E7</v>
      </c>
      <c r="O2026" s="79">
        <v>1.5567262E7</v>
      </c>
      <c r="P2026" s="79" t="s">
        <v>232</v>
      </c>
    </row>
    <row r="2027">
      <c r="J2027" s="79" t="s">
        <v>2413</v>
      </c>
      <c r="K2027" t="str">
        <f>B69</f>
        <v>S4~</v>
      </c>
      <c r="N2027" s="79">
        <v>1.7720577E7</v>
      </c>
      <c r="O2027" s="79">
        <v>1.5608697E7</v>
      </c>
      <c r="P2027" s="79" t="s">
        <v>302</v>
      </c>
    </row>
    <row r="2028">
      <c r="J2028" s="79" t="s">
        <v>2414</v>
      </c>
      <c r="K2028" t="str">
        <f>B69</f>
        <v>S4~</v>
      </c>
      <c r="N2028" s="79">
        <v>1.7749223E7</v>
      </c>
      <c r="O2028" s="79">
        <v>1.5637343E7</v>
      </c>
      <c r="P2028" s="79" t="s">
        <v>224</v>
      </c>
    </row>
    <row r="2029">
      <c r="J2029" s="79" t="s">
        <v>2415</v>
      </c>
      <c r="K2029" t="str">
        <f>B69</f>
        <v>S4~</v>
      </c>
      <c r="N2029" s="79">
        <v>1.7764679E7</v>
      </c>
      <c r="O2029" s="79">
        <v>1.5652799E7</v>
      </c>
      <c r="P2029" s="79" t="s">
        <v>302</v>
      </c>
    </row>
    <row r="2030">
      <c r="J2030" s="79" t="s">
        <v>2416</v>
      </c>
      <c r="K2030" t="str">
        <f>B69</f>
        <v>S4~</v>
      </c>
      <c r="N2030" s="79">
        <v>1.7781877E7</v>
      </c>
      <c r="O2030" s="79">
        <v>1.5669997E7</v>
      </c>
      <c r="P2030" s="79" t="s">
        <v>224</v>
      </c>
    </row>
    <row r="2031">
      <c r="J2031" s="79" t="s">
        <v>2417</v>
      </c>
      <c r="K2031" t="str">
        <f>B69</f>
        <v>S4~</v>
      </c>
      <c r="N2031" s="79">
        <v>1.7843788E7</v>
      </c>
      <c r="O2031" s="79">
        <v>1.5731908E7</v>
      </c>
      <c r="P2031" s="79" t="s">
        <v>221</v>
      </c>
    </row>
    <row r="2032">
      <c r="J2032" s="79" t="s">
        <v>2418</v>
      </c>
      <c r="K2032" t="str">
        <f>B69</f>
        <v>S4~</v>
      </c>
      <c r="N2032" s="79">
        <v>1.786667E7</v>
      </c>
      <c r="O2032" s="79">
        <v>1.575479E7</v>
      </c>
      <c r="P2032" s="79" t="s">
        <v>242</v>
      </c>
    </row>
    <row r="2033">
      <c r="J2033" s="79" t="s">
        <v>2419</v>
      </c>
      <c r="K2033" t="str">
        <f>B69</f>
        <v>S4~</v>
      </c>
      <c r="N2033" s="79">
        <v>1.7867204E7</v>
      </c>
      <c r="O2033" s="79">
        <v>1.5755324E7</v>
      </c>
      <c r="P2033" s="79" t="s">
        <v>232</v>
      </c>
    </row>
    <row r="2034">
      <c r="J2034" s="79" t="s">
        <v>2420</v>
      </c>
      <c r="K2034" t="str">
        <f>B69</f>
        <v>S4~</v>
      </c>
      <c r="N2034" s="79">
        <v>1.7872004E7</v>
      </c>
      <c r="O2034" s="79">
        <v>1.5760124E7</v>
      </c>
      <c r="P2034" s="79" t="s">
        <v>219</v>
      </c>
    </row>
    <row r="2035">
      <c r="J2035" s="79" t="s">
        <v>2421</v>
      </c>
      <c r="K2035" t="str">
        <f>B69</f>
        <v>S4~</v>
      </c>
      <c r="N2035" s="79">
        <v>1.7875922E7</v>
      </c>
      <c r="O2035" s="79">
        <v>1.5764042E7</v>
      </c>
      <c r="P2035" s="79" t="s">
        <v>242</v>
      </c>
    </row>
    <row r="2036">
      <c r="J2036" s="79" t="s">
        <v>2422</v>
      </c>
      <c r="K2036" t="str">
        <f>B69</f>
        <v>S4~</v>
      </c>
      <c r="N2036" s="79">
        <v>1.7910327E7</v>
      </c>
      <c r="O2036" s="79">
        <v>1.5798447E7</v>
      </c>
      <c r="P2036" s="79" t="s">
        <v>221</v>
      </c>
    </row>
    <row r="2037">
      <c r="J2037" s="79" t="s">
        <v>2423</v>
      </c>
      <c r="K2037" t="str">
        <f>B69</f>
        <v>S4~</v>
      </c>
      <c r="N2037" s="79">
        <v>1.7919133E7</v>
      </c>
      <c r="O2037" s="79">
        <v>1.5807253E7</v>
      </c>
      <c r="P2037" s="79" t="s">
        <v>302</v>
      </c>
    </row>
    <row r="2038">
      <c r="J2038" s="79" t="s">
        <v>2424</v>
      </c>
      <c r="K2038" t="str">
        <f>B69</f>
        <v>S4~</v>
      </c>
      <c r="N2038" s="79">
        <v>1.7937599E7</v>
      </c>
      <c r="O2038" s="79">
        <v>1.5825719E7</v>
      </c>
      <c r="P2038" s="79" t="s">
        <v>221</v>
      </c>
    </row>
    <row r="2039">
      <c r="J2039" s="79" t="s">
        <v>2425</v>
      </c>
      <c r="K2039" t="str">
        <f>B69</f>
        <v>S4~</v>
      </c>
      <c r="N2039" s="79">
        <v>1.7938317E7</v>
      </c>
      <c r="O2039" s="79">
        <v>1.5826437E7</v>
      </c>
      <c r="P2039" s="79" t="s">
        <v>255</v>
      </c>
    </row>
    <row r="2040">
      <c r="J2040" s="79" t="s">
        <v>2426</v>
      </c>
      <c r="K2040" t="str">
        <f>B69</f>
        <v>S4~</v>
      </c>
      <c r="N2040" s="79">
        <v>1.795252E7</v>
      </c>
      <c r="O2040" s="79">
        <v>1.584064E7</v>
      </c>
      <c r="P2040" s="79" t="s">
        <v>283</v>
      </c>
    </row>
    <row r="2041">
      <c r="J2041" s="79" t="s">
        <v>2427</v>
      </c>
      <c r="K2041" t="str">
        <f>B69</f>
        <v>S4~</v>
      </c>
      <c r="N2041" s="79">
        <v>1.7980697E7</v>
      </c>
      <c r="O2041" s="79">
        <v>1.5868817E7</v>
      </c>
      <c r="P2041" s="79" t="s">
        <v>302</v>
      </c>
    </row>
    <row r="2042">
      <c r="J2042" s="79" t="s">
        <v>2428</v>
      </c>
      <c r="K2042" t="str">
        <f>B69</f>
        <v>S4~</v>
      </c>
      <c r="M2042" s="79" t="s">
        <v>2429</v>
      </c>
      <c r="N2042" s="79">
        <v>1.8052819E7</v>
      </c>
      <c r="O2042" s="79">
        <v>1.5940939E7</v>
      </c>
      <c r="P2042" s="79" t="s">
        <v>232</v>
      </c>
    </row>
    <row r="2043">
      <c r="J2043" s="79" t="s">
        <v>2430</v>
      </c>
      <c r="K2043" t="str">
        <f>B69</f>
        <v>S4~</v>
      </c>
      <c r="N2043" s="79">
        <v>1.8062471E7</v>
      </c>
      <c r="O2043" s="79">
        <v>1.5950591E7</v>
      </c>
      <c r="P2043" s="79" t="s">
        <v>232</v>
      </c>
    </row>
    <row r="2044">
      <c r="J2044" s="79" t="s">
        <v>2431</v>
      </c>
      <c r="K2044" t="str">
        <f>B69</f>
        <v>S4~</v>
      </c>
      <c r="N2044" s="79">
        <v>1.8063175E7</v>
      </c>
      <c r="O2044" s="79">
        <v>1.5951295E7</v>
      </c>
      <c r="P2044" s="79" t="s">
        <v>283</v>
      </c>
    </row>
    <row r="2045">
      <c r="J2045" s="79" t="s">
        <v>2432</v>
      </c>
      <c r="K2045" t="str">
        <f>B69</f>
        <v>S4~</v>
      </c>
      <c r="N2045" s="79">
        <v>1.8147866E7</v>
      </c>
      <c r="O2045" s="79">
        <v>1.6035986E7</v>
      </c>
      <c r="P2045" s="79" t="s">
        <v>224</v>
      </c>
    </row>
    <row r="2046">
      <c r="J2046" s="79" t="s">
        <v>2433</v>
      </c>
      <c r="K2046" t="str">
        <f>B69</f>
        <v>S4~</v>
      </c>
      <c r="N2046" s="79">
        <v>1.8154929E7</v>
      </c>
      <c r="O2046" s="79">
        <v>1.6043049E7</v>
      </c>
      <c r="P2046" s="79" t="s">
        <v>221</v>
      </c>
    </row>
    <row r="2047">
      <c r="J2047" s="79" t="s">
        <v>2434</v>
      </c>
      <c r="K2047" t="str">
        <f>B69</f>
        <v>S4~</v>
      </c>
      <c r="N2047" s="79">
        <v>1.8232638E7</v>
      </c>
      <c r="O2047" s="79">
        <v>1.6120758E7</v>
      </c>
      <c r="P2047" s="79" t="s">
        <v>219</v>
      </c>
    </row>
    <row r="2048">
      <c r="J2048" s="79" t="s">
        <v>2435</v>
      </c>
      <c r="K2048" t="str">
        <f>B69</f>
        <v>S4~</v>
      </c>
      <c r="N2048" s="79">
        <v>1.8386101E7</v>
      </c>
      <c r="O2048" s="79">
        <v>1.6274221E7</v>
      </c>
      <c r="P2048" s="79" t="s">
        <v>229</v>
      </c>
    </row>
    <row r="2049">
      <c r="J2049" s="79" t="s">
        <v>2436</v>
      </c>
      <c r="K2049" t="str">
        <f>B69</f>
        <v>S4~</v>
      </c>
      <c r="N2049" s="79">
        <v>1.8424254E7</v>
      </c>
      <c r="O2049" s="79">
        <v>1.6312374E7</v>
      </c>
      <c r="P2049" s="79" t="s">
        <v>235</v>
      </c>
    </row>
    <row r="2050">
      <c r="J2050" s="79" t="s">
        <v>2437</v>
      </c>
      <c r="K2050" t="str">
        <f>B69</f>
        <v>S4~</v>
      </c>
      <c r="N2050" s="79">
        <v>1.8587267E7</v>
      </c>
      <c r="O2050" s="79">
        <v>1.6475387E7</v>
      </c>
      <c r="P2050" s="79" t="s">
        <v>221</v>
      </c>
    </row>
    <row r="2051">
      <c r="J2051" s="79" t="s">
        <v>2438</v>
      </c>
      <c r="K2051" t="str">
        <f>B69</f>
        <v>S4~</v>
      </c>
      <c r="N2051" s="79">
        <v>1.8637114E7</v>
      </c>
      <c r="O2051" s="79">
        <v>1.6525234E7</v>
      </c>
      <c r="P2051" s="79" t="s">
        <v>302</v>
      </c>
    </row>
    <row r="2052">
      <c r="J2052" s="79" t="s">
        <v>2439</v>
      </c>
      <c r="K2052" t="str">
        <f>B69</f>
        <v>S4~</v>
      </c>
      <c r="N2052" s="79">
        <v>1.8644468E7</v>
      </c>
      <c r="O2052" s="79">
        <v>1.6532588E7</v>
      </c>
      <c r="P2052" s="79" t="s">
        <v>219</v>
      </c>
    </row>
    <row r="2053">
      <c r="J2053" s="79" t="s">
        <v>2440</v>
      </c>
      <c r="K2053" t="str">
        <f>B69</f>
        <v>S4~</v>
      </c>
      <c r="N2053" s="79">
        <v>1.8658852E7</v>
      </c>
      <c r="O2053" s="79">
        <v>1.6546972E7</v>
      </c>
      <c r="P2053" s="79" t="s">
        <v>216</v>
      </c>
    </row>
    <row r="2054">
      <c r="J2054" s="79" t="s">
        <v>2441</v>
      </c>
      <c r="K2054" t="str">
        <f>B69</f>
        <v>S4~</v>
      </c>
      <c r="N2054" s="79">
        <v>1.8672206E7</v>
      </c>
      <c r="O2054" s="79">
        <v>1.6560326E7</v>
      </c>
      <c r="P2054" s="79" t="s">
        <v>242</v>
      </c>
    </row>
    <row r="2055">
      <c r="J2055" s="79" t="s">
        <v>2442</v>
      </c>
      <c r="K2055" t="str">
        <f>B69</f>
        <v>S4~</v>
      </c>
      <c r="N2055" s="79">
        <v>1.8717487E7</v>
      </c>
      <c r="O2055" s="79">
        <v>1.6605607E7</v>
      </c>
      <c r="P2055" s="79" t="s">
        <v>219</v>
      </c>
    </row>
    <row r="2056">
      <c r="J2056" s="79" t="s">
        <v>2443</v>
      </c>
      <c r="K2056" t="str">
        <f>B69</f>
        <v>S4~</v>
      </c>
      <c r="N2056" s="79">
        <v>1.8730304E7</v>
      </c>
      <c r="O2056" s="79">
        <v>1.6618424E7</v>
      </c>
      <c r="P2056" s="79" t="s">
        <v>302</v>
      </c>
    </row>
    <row r="2057">
      <c r="J2057" s="79" t="s">
        <v>2444</v>
      </c>
      <c r="K2057" t="str">
        <f>B69</f>
        <v>S4~</v>
      </c>
      <c r="N2057" s="79">
        <v>1.8746368E7</v>
      </c>
      <c r="O2057" s="79">
        <v>1.6634488E7</v>
      </c>
      <c r="P2057" s="79" t="s">
        <v>216</v>
      </c>
    </row>
    <row r="2058">
      <c r="J2058" s="79" t="s">
        <v>2445</v>
      </c>
      <c r="K2058" t="str">
        <f>B69</f>
        <v>S4~</v>
      </c>
      <c r="N2058" s="79">
        <v>1.8851986E7</v>
      </c>
      <c r="O2058" s="79">
        <v>1.6740106E7</v>
      </c>
      <c r="P2058" s="79" t="s">
        <v>235</v>
      </c>
    </row>
    <row r="2059">
      <c r="J2059" s="79" t="s">
        <v>2446</v>
      </c>
      <c r="K2059" t="str">
        <f>B69</f>
        <v>S4~</v>
      </c>
      <c r="N2059" s="79">
        <v>1.8926507E7</v>
      </c>
      <c r="O2059" s="79">
        <v>1.6814627E7</v>
      </c>
      <c r="P2059" s="79" t="s">
        <v>219</v>
      </c>
    </row>
    <row r="2060">
      <c r="J2060" s="79" t="s">
        <v>2447</v>
      </c>
      <c r="K2060" t="str">
        <f>B69</f>
        <v>S4~</v>
      </c>
      <c r="N2060" s="79">
        <v>1.8985412E7</v>
      </c>
      <c r="O2060" s="79">
        <v>1.6873532E7</v>
      </c>
      <c r="P2060" s="79" t="s">
        <v>285</v>
      </c>
    </row>
    <row r="2061">
      <c r="J2061" s="79" t="s">
        <v>2448</v>
      </c>
      <c r="K2061" t="str">
        <f>B69</f>
        <v>S4~</v>
      </c>
      <c r="N2061" s="79">
        <v>1.9061068E7</v>
      </c>
      <c r="O2061" s="79">
        <v>1.6949188E7</v>
      </c>
      <c r="P2061" s="79" t="s">
        <v>232</v>
      </c>
    </row>
    <row r="2062">
      <c r="J2062" s="79" t="s">
        <v>2449</v>
      </c>
      <c r="K2062" t="str">
        <f>B69</f>
        <v>S4~</v>
      </c>
      <c r="N2062" s="79">
        <v>1.908963E7</v>
      </c>
      <c r="O2062" s="79">
        <v>1.697775E7</v>
      </c>
      <c r="P2062" s="79" t="s">
        <v>221</v>
      </c>
    </row>
    <row r="2063">
      <c r="J2063" s="79" t="s">
        <v>2450</v>
      </c>
      <c r="K2063" t="str">
        <f>B69</f>
        <v>S4~</v>
      </c>
      <c r="N2063" s="79">
        <v>1.9131636E7</v>
      </c>
      <c r="O2063" s="79">
        <v>1.7019756E7</v>
      </c>
      <c r="P2063" s="79" t="s">
        <v>221</v>
      </c>
    </row>
    <row r="2064">
      <c r="J2064" s="79" t="s">
        <v>2451</v>
      </c>
      <c r="K2064" t="str">
        <f>B69</f>
        <v>S4~</v>
      </c>
      <c r="N2064" s="79">
        <v>1.9240372E7</v>
      </c>
      <c r="O2064" s="79">
        <v>1.7128492E7</v>
      </c>
      <c r="P2064" s="79" t="s">
        <v>242</v>
      </c>
    </row>
    <row r="2065">
      <c r="J2065" s="79" t="s">
        <v>2452</v>
      </c>
      <c r="K2065" t="str">
        <f>B69</f>
        <v>S4~</v>
      </c>
      <c r="N2065" s="79">
        <v>1.9243541E7</v>
      </c>
      <c r="O2065" s="79">
        <v>1.7131661E7</v>
      </c>
      <c r="P2065" s="79" t="s">
        <v>221</v>
      </c>
    </row>
    <row r="2066">
      <c r="J2066" s="79" t="s">
        <v>2453</v>
      </c>
      <c r="K2066" t="str">
        <f>B69</f>
        <v>S4~</v>
      </c>
      <c r="N2066" s="79">
        <v>1.9421464E7</v>
      </c>
      <c r="O2066" s="79">
        <v>1.7309584E7</v>
      </c>
      <c r="P2066" s="79" t="s">
        <v>302</v>
      </c>
    </row>
    <row r="2067">
      <c r="J2067" s="79" t="s">
        <v>2454</v>
      </c>
      <c r="K2067" t="str">
        <f>B69</f>
        <v>S4~</v>
      </c>
      <c r="N2067" s="79">
        <v>1.9421465E7</v>
      </c>
      <c r="O2067" s="79">
        <v>1.7309585E7</v>
      </c>
      <c r="P2067" s="79" t="s">
        <v>216</v>
      </c>
    </row>
    <row r="2068">
      <c r="J2068" s="79" t="s">
        <v>2455</v>
      </c>
      <c r="K2068" t="str">
        <f>B69</f>
        <v>S4~</v>
      </c>
      <c r="N2068" s="79">
        <v>1.9498501E7</v>
      </c>
      <c r="O2068" s="79">
        <v>1.7386621E7</v>
      </c>
      <c r="P2068" s="79" t="s">
        <v>221</v>
      </c>
    </row>
    <row r="2069">
      <c r="J2069" s="79" t="s">
        <v>2456</v>
      </c>
      <c r="K2069" t="str">
        <f>B69</f>
        <v>S4~</v>
      </c>
      <c r="N2069" s="79">
        <v>1.9510677E7</v>
      </c>
      <c r="O2069" s="79">
        <v>1.7398797E7</v>
      </c>
      <c r="P2069" s="79" t="s">
        <v>302</v>
      </c>
    </row>
    <row r="2070">
      <c r="J2070" s="79" t="s">
        <v>2457</v>
      </c>
      <c r="K2070" t="str">
        <f>B69</f>
        <v>S4~</v>
      </c>
      <c r="N2070" s="79">
        <v>2.1079352E7</v>
      </c>
      <c r="O2070" s="79">
        <v>1.8917466E7</v>
      </c>
      <c r="P2070" s="79" t="s">
        <v>232</v>
      </c>
    </row>
    <row r="2071">
      <c r="J2071" s="79" t="s">
        <v>2458</v>
      </c>
      <c r="K2071" t="str">
        <f>B69</f>
        <v>S4~</v>
      </c>
      <c r="N2071" s="79">
        <v>2.1083008E7</v>
      </c>
      <c r="O2071" s="79">
        <v>1.8921122E7</v>
      </c>
      <c r="P2071" s="79" t="s">
        <v>224</v>
      </c>
    </row>
    <row r="2072">
      <c r="J2072" s="79" t="s">
        <v>2459</v>
      </c>
      <c r="K2072" t="str">
        <f>B69</f>
        <v>S4~</v>
      </c>
      <c r="N2072" s="79">
        <v>2.1085412E7</v>
      </c>
      <c r="O2072" s="79">
        <v>1.8923526E7</v>
      </c>
      <c r="P2072" s="79" t="s">
        <v>221</v>
      </c>
    </row>
    <row r="2073">
      <c r="J2073" s="79" t="s">
        <v>2460</v>
      </c>
      <c r="K2073" t="str">
        <f>B69</f>
        <v>S4~</v>
      </c>
      <c r="N2073" s="79">
        <v>2.1140415E7</v>
      </c>
      <c r="O2073" s="79">
        <v>1.8978529E7</v>
      </c>
      <c r="P2073" s="79" t="s">
        <v>285</v>
      </c>
    </row>
    <row r="2074">
      <c r="J2074" s="79" t="s">
        <v>2461</v>
      </c>
      <c r="K2074" t="str">
        <f>B69</f>
        <v>S4~</v>
      </c>
      <c r="N2074" s="79">
        <v>2.1174171E7</v>
      </c>
      <c r="O2074" s="79">
        <v>1.9012285E7</v>
      </c>
      <c r="P2074" s="79" t="s">
        <v>302</v>
      </c>
    </row>
    <row r="2075">
      <c r="J2075" s="79" t="s">
        <v>2462</v>
      </c>
      <c r="K2075" t="str">
        <f>B69</f>
        <v>S4~</v>
      </c>
      <c r="N2075" s="79">
        <v>2.121712E7</v>
      </c>
      <c r="O2075" s="79">
        <v>1.9055234E7</v>
      </c>
      <c r="P2075" s="79" t="s">
        <v>221</v>
      </c>
    </row>
    <row r="2076">
      <c r="J2076" s="79" t="s">
        <v>2463</v>
      </c>
      <c r="K2076" t="str">
        <f>B69</f>
        <v>S4~</v>
      </c>
      <c r="N2076" s="79">
        <v>2.1310794E7</v>
      </c>
      <c r="O2076" s="79">
        <v>1.9148908E7</v>
      </c>
      <c r="P2076" s="79" t="s">
        <v>229</v>
      </c>
    </row>
    <row r="2077">
      <c r="J2077" s="79" t="s">
        <v>2464</v>
      </c>
      <c r="K2077" t="str">
        <f>B69</f>
        <v>S4~</v>
      </c>
      <c r="N2077" s="79">
        <v>2.1332436E7</v>
      </c>
      <c r="O2077" s="79">
        <v>1.917055E7</v>
      </c>
      <c r="P2077" s="79" t="s">
        <v>221</v>
      </c>
    </row>
    <row r="2078">
      <c r="J2078" s="79" t="s">
        <v>2465</v>
      </c>
      <c r="K2078" t="str">
        <f>B69</f>
        <v>S4~</v>
      </c>
      <c r="N2078" s="79">
        <v>2.1333517E7</v>
      </c>
      <c r="O2078" s="79">
        <v>1.9171631E7</v>
      </c>
      <c r="P2078" s="79" t="s">
        <v>302</v>
      </c>
    </row>
    <row r="2079">
      <c r="J2079" s="79" t="s">
        <v>2466</v>
      </c>
      <c r="K2079" t="str">
        <f>B69</f>
        <v>S4~</v>
      </c>
      <c r="N2079" s="79">
        <v>2.1385594E7</v>
      </c>
      <c r="O2079" s="79">
        <v>1.9223708E7</v>
      </c>
      <c r="P2079" s="79" t="s">
        <v>232</v>
      </c>
    </row>
    <row r="2080">
      <c r="J2080" s="79" t="s">
        <v>2467</v>
      </c>
      <c r="K2080" t="str">
        <f>B69</f>
        <v>S4~</v>
      </c>
      <c r="N2080" s="79">
        <v>2.1479398E7</v>
      </c>
      <c r="O2080" s="79">
        <v>1.9317512E7</v>
      </c>
      <c r="P2080" s="79" t="s">
        <v>221</v>
      </c>
    </row>
    <row r="2081">
      <c r="J2081" s="79" t="s">
        <v>2468</v>
      </c>
      <c r="K2081" t="str">
        <f>B69</f>
        <v>S4~</v>
      </c>
      <c r="N2081" s="79">
        <v>2.1487896E7</v>
      </c>
      <c r="O2081" s="79">
        <v>1.932601E7</v>
      </c>
      <c r="P2081" s="79" t="s">
        <v>216</v>
      </c>
    </row>
    <row r="2082">
      <c r="J2082" s="79" t="s">
        <v>2469</v>
      </c>
      <c r="K2082" t="str">
        <f>B69</f>
        <v>S4~</v>
      </c>
      <c r="N2082" s="79">
        <v>2.1684376E7</v>
      </c>
      <c r="O2082" s="79">
        <v>1.952249E7</v>
      </c>
      <c r="P2082" s="79" t="s">
        <v>219</v>
      </c>
    </row>
    <row r="2083">
      <c r="J2083" s="79" t="s">
        <v>2470</v>
      </c>
      <c r="K2083" t="str">
        <f>B69</f>
        <v>S4~</v>
      </c>
      <c r="N2083" s="79">
        <v>2.1687751E7</v>
      </c>
      <c r="O2083" s="79">
        <v>1.9525865E7</v>
      </c>
      <c r="P2083" s="79" t="s">
        <v>221</v>
      </c>
    </row>
    <row r="2084">
      <c r="J2084" s="79" t="s">
        <v>2471</v>
      </c>
      <c r="K2084" t="str">
        <f>B69</f>
        <v>S4~</v>
      </c>
      <c r="N2084" s="79">
        <v>2.1704399E7</v>
      </c>
      <c r="O2084" s="79">
        <v>1.9542513E7</v>
      </c>
      <c r="P2084" s="79" t="s">
        <v>232</v>
      </c>
    </row>
    <row r="2085">
      <c r="J2085" s="79" t="s">
        <v>2472</v>
      </c>
      <c r="K2085" t="str">
        <f>B69</f>
        <v>S4~</v>
      </c>
      <c r="N2085" s="79">
        <v>2.1756274E7</v>
      </c>
      <c r="O2085" s="79">
        <v>1.9594388E7</v>
      </c>
      <c r="P2085" s="79" t="s">
        <v>221</v>
      </c>
    </row>
    <row r="2086">
      <c r="J2086" s="79" t="s">
        <v>2473</v>
      </c>
      <c r="K2086" t="str">
        <f>B69</f>
        <v>S4~</v>
      </c>
      <c r="N2086" s="79">
        <v>2.1798751E7</v>
      </c>
      <c r="O2086" s="79">
        <v>1.9636865E7</v>
      </c>
      <c r="P2086" s="79" t="s">
        <v>302</v>
      </c>
    </row>
    <row r="2087">
      <c r="J2087" s="79" t="s">
        <v>2474</v>
      </c>
      <c r="K2087" t="str">
        <f>B69</f>
        <v>S4~</v>
      </c>
      <c r="N2087" s="79">
        <v>2.1811732E7</v>
      </c>
      <c r="O2087" s="79">
        <v>1.9649846E7</v>
      </c>
      <c r="P2087" s="79" t="s">
        <v>242</v>
      </c>
    </row>
    <row r="2088">
      <c r="J2088" s="79" t="s">
        <v>2475</v>
      </c>
      <c r="K2088" t="str">
        <f>B69</f>
        <v>S4~</v>
      </c>
      <c r="N2088" s="79">
        <v>2.1934315E7</v>
      </c>
      <c r="O2088" s="79">
        <v>1.9772429E7</v>
      </c>
      <c r="P2088" s="79" t="s">
        <v>283</v>
      </c>
    </row>
    <row r="2089">
      <c r="J2089" s="79" t="s">
        <v>2476</v>
      </c>
      <c r="K2089" t="str">
        <f>B69</f>
        <v>S4~</v>
      </c>
      <c r="N2089" s="79">
        <v>2.1936507E7</v>
      </c>
      <c r="O2089" s="79">
        <v>1.9774621E7</v>
      </c>
      <c r="P2089" s="79" t="s">
        <v>232</v>
      </c>
    </row>
    <row r="2090">
      <c r="J2090" s="79" t="s">
        <v>2477</v>
      </c>
      <c r="K2090" t="str">
        <f>B69</f>
        <v>S4~</v>
      </c>
      <c r="N2090" s="79">
        <v>2.1936858E7</v>
      </c>
      <c r="O2090" s="79">
        <v>1.9774972E7</v>
      </c>
      <c r="P2090" s="79" t="s">
        <v>221</v>
      </c>
    </row>
    <row r="2091">
      <c r="J2091" s="79" t="s">
        <v>2478</v>
      </c>
      <c r="K2091" t="str">
        <f>B69</f>
        <v>S4~</v>
      </c>
      <c r="N2091" s="79">
        <v>2.201945E7</v>
      </c>
      <c r="O2091" s="79">
        <v>1.9857564E7</v>
      </c>
      <c r="P2091" s="79" t="s">
        <v>255</v>
      </c>
    </row>
    <row r="2092">
      <c r="J2092" s="79" t="s">
        <v>2479</v>
      </c>
      <c r="K2092" t="str">
        <f>B69</f>
        <v>S4~</v>
      </c>
      <c r="N2092" s="79">
        <v>2.2033842E7</v>
      </c>
      <c r="O2092" s="79">
        <v>1.9871956E7</v>
      </c>
      <c r="P2092" s="79" t="s">
        <v>232</v>
      </c>
    </row>
    <row r="2093">
      <c r="J2093" s="79" t="s">
        <v>2480</v>
      </c>
      <c r="K2093" t="str">
        <f>B69</f>
        <v>S4~</v>
      </c>
      <c r="N2093" s="79">
        <v>2.2156637E7</v>
      </c>
      <c r="O2093" s="79">
        <v>1.9994751E7</v>
      </c>
      <c r="P2093" s="79" t="s">
        <v>219</v>
      </c>
    </row>
    <row r="2094">
      <c r="J2094" s="79" t="s">
        <v>2481</v>
      </c>
      <c r="K2094" t="str">
        <f>B69</f>
        <v>S4~</v>
      </c>
      <c r="N2094" s="79">
        <v>2.2179613E7</v>
      </c>
      <c r="O2094" s="79">
        <v>2.0017727E7</v>
      </c>
      <c r="P2094" s="79" t="s">
        <v>219</v>
      </c>
    </row>
    <row r="2095">
      <c r="J2095" s="79" t="s">
        <v>2482</v>
      </c>
      <c r="K2095" t="str">
        <f>B69</f>
        <v>S4~</v>
      </c>
      <c r="N2095" s="79">
        <v>2.2514046E7</v>
      </c>
      <c r="O2095" s="79">
        <v>2.035216E7</v>
      </c>
      <c r="P2095" s="79" t="s">
        <v>232</v>
      </c>
    </row>
    <row r="2096">
      <c r="J2096" s="79" t="s">
        <v>2483</v>
      </c>
      <c r="K2096" t="str">
        <f>B69</f>
        <v>S4~</v>
      </c>
      <c r="N2096" s="79">
        <v>2.25142E7</v>
      </c>
      <c r="O2096" s="79">
        <v>2.0352314E7</v>
      </c>
      <c r="P2096" s="79" t="s">
        <v>219</v>
      </c>
    </row>
    <row r="2097">
      <c r="J2097" s="79" t="s">
        <v>2484</v>
      </c>
      <c r="K2097" t="str">
        <f>B69</f>
        <v>S4~</v>
      </c>
      <c r="N2097" s="79">
        <v>2.2515802E7</v>
      </c>
      <c r="O2097" s="79">
        <v>2.0353916E7</v>
      </c>
      <c r="P2097" s="79" t="s">
        <v>232</v>
      </c>
    </row>
    <row r="2098">
      <c r="J2098" s="79" t="s">
        <v>2485</v>
      </c>
      <c r="K2098" t="str">
        <f>B69</f>
        <v>S4~</v>
      </c>
      <c r="N2098" s="79">
        <v>2.2575589E7</v>
      </c>
      <c r="O2098" s="79">
        <v>2.0413703E7</v>
      </c>
      <c r="P2098" s="79" t="s">
        <v>283</v>
      </c>
    </row>
    <row r="2099">
      <c r="J2099" s="79" t="s">
        <v>2486</v>
      </c>
      <c r="K2099" t="str">
        <f>B69</f>
        <v>S4~</v>
      </c>
      <c r="N2099" s="79">
        <v>2.2596388E7</v>
      </c>
      <c r="O2099" s="79">
        <v>2.0434502E7</v>
      </c>
      <c r="P2099" s="79" t="s">
        <v>235</v>
      </c>
    </row>
    <row r="2100">
      <c r="J2100" s="79" t="s">
        <v>2487</v>
      </c>
      <c r="K2100" t="str">
        <f>B69</f>
        <v>S4~</v>
      </c>
      <c r="N2100" s="79">
        <v>2.2631876E7</v>
      </c>
      <c r="O2100" s="79">
        <v>2.046999E7</v>
      </c>
      <c r="P2100" s="79" t="s">
        <v>219</v>
      </c>
    </row>
    <row r="2101">
      <c r="J2101" s="79" t="s">
        <v>2488</v>
      </c>
      <c r="K2101" t="str">
        <f>B69</f>
        <v>S4~</v>
      </c>
      <c r="N2101" s="79">
        <v>2.2776814E7</v>
      </c>
      <c r="O2101" s="79">
        <v>2.0614928E7</v>
      </c>
      <c r="P2101" s="79" t="s">
        <v>302</v>
      </c>
    </row>
    <row r="2102">
      <c r="J2102" s="79" t="s">
        <v>2489</v>
      </c>
      <c r="K2102" t="str">
        <f>B69</f>
        <v>S4~</v>
      </c>
      <c r="N2102" s="79">
        <v>2.2795704E7</v>
      </c>
      <c r="O2102" s="79">
        <v>2.0633818E7</v>
      </c>
      <c r="P2102" s="79" t="s">
        <v>302</v>
      </c>
    </row>
    <row r="2103">
      <c r="J2103" s="79" t="s">
        <v>2490</v>
      </c>
      <c r="K2103" t="str">
        <f>B69</f>
        <v>S4~</v>
      </c>
      <c r="N2103" s="79">
        <v>2.2887647E7</v>
      </c>
      <c r="O2103" s="79">
        <v>2.0725761E7</v>
      </c>
      <c r="P2103" s="79" t="s">
        <v>302</v>
      </c>
    </row>
    <row r="2104">
      <c r="J2104" s="79" t="s">
        <v>2491</v>
      </c>
      <c r="K2104" t="str">
        <f>B69</f>
        <v>S4~</v>
      </c>
      <c r="N2104" s="79">
        <v>2.2992586E7</v>
      </c>
      <c r="O2104" s="79">
        <v>2.08307E7</v>
      </c>
      <c r="P2104" s="79" t="s">
        <v>219</v>
      </c>
    </row>
    <row r="2105">
      <c r="J2105" s="79" t="s">
        <v>2492</v>
      </c>
      <c r="K2105" t="str">
        <f>B69</f>
        <v>S4~</v>
      </c>
      <c r="N2105" s="79">
        <v>2.3121997E7</v>
      </c>
      <c r="O2105" s="79">
        <v>2.0960111E7</v>
      </c>
      <c r="P2105" s="79" t="s">
        <v>232</v>
      </c>
    </row>
    <row r="2106">
      <c r="J2106" s="79" t="s">
        <v>2493</v>
      </c>
      <c r="K2106" t="str">
        <f>B69</f>
        <v>S4~</v>
      </c>
      <c r="N2106" s="79">
        <v>2.314919E7</v>
      </c>
      <c r="O2106" s="79">
        <v>2.0987304E7</v>
      </c>
      <c r="P2106" s="79" t="s">
        <v>232</v>
      </c>
    </row>
    <row r="2107">
      <c r="J2107" s="79" t="s">
        <v>2494</v>
      </c>
      <c r="K2107" t="str">
        <f>B69</f>
        <v>S4~</v>
      </c>
      <c r="N2107" s="79">
        <v>2.329516E7</v>
      </c>
      <c r="O2107" s="79">
        <v>2.1133274E7</v>
      </c>
      <c r="P2107" s="79" t="s">
        <v>216</v>
      </c>
    </row>
    <row r="2108">
      <c r="J2108" s="79" t="s">
        <v>2495</v>
      </c>
      <c r="K2108" t="str">
        <f>B69</f>
        <v>S4~</v>
      </c>
      <c r="N2108" s="79">
        <v>2.3308378E7</v>
      </c>
      <c r="O2108" s="79">
        <v>2.1146492E7</v>
      </c>
      <c r="P2108" s="79" t="s">
        <v>221</v>
      </c>
    </row>
    <row r="2109">
      <c r="J2109" s="79" t="s">
        <v>2496</v>
      </c>
      <c r="K2109" t="str">
        <f>B69</f>
        <v>S4~</v>
      </c>
      <c r="N2109" s="79">
        <v>2.3506408E7</v>
      </c>
      <c r="O2109" s="79">
        <v>2.1344522E7</v>
      </c>
      <c r="P2109" s="79" t="s">
        <v>283</v>
      </c>
    </row>
    <row r="2110">
      <c r="J2110" s="79" t="s">
        <v>2497</v>
      </c>
      <c r="K2110" t="str">
        <f>B69</f>
        <v>S4~</v>
      </c>
      <c r="N2110" s="79">
        <v>2.3506974E7</v>
      </c>
      <c r="O2110" s="79">
        <v>2.1345088E7</v>
      </c>
      <c r="P2110" s="79" t="s">
        <v>285</v>
      </c>
    </row>
    <row r="2111">
      <c r="J2111" s="79" t="s">
        <v>2498</v>
      </c>
      <c r="K2111" t="str">
        <f>B69</f>
        <v>S4~</v>
      </c>
      <c r="N2111" s="79">
        <v>2.3533736E7</v>
      </c>
      <c r="O2111" s="79">
        <v>2.137185E7</v>
      </c>
      <c r="P2111" s="79" t="s">
        <v>302</v>
      </c>
    </row>
    <row r="2112">
      <c r="J2112" s="79" t="s">
        <v>2499</v>
      </c>
      <c r="K2112" t="str">
        <f>B69</f>
        <v>S4~</v>
      </c>
      <c r="N2112" s="79">
        <v>2.3566589E7</v>
      </c>
      <c r="O2112" s="79">
        <v>2.1404703E7</v>
      </c>
      <c r="P2112" s="79" t="s">
        <v>232</v>
      </c>
    </row>
    <row r="2113">
      <c r="J2113" s="79" t="s">
        <v>2500</v>
      </c>
      <c r="K2113" t="str">
        <f>B69</f>
        <v>S4~</v>
      </c>
      <c r="N2113" s="79">
        <v>2.3566598E7</v>
      </c>
      <c r="O2113" s="79">
        <v>2.1404712E7</v>
      </c>
      <c r="P2113" s="79" t="s">
        <v>221</v>
      </c>
    </row>
    <row r="2114">
      <c r="J2114" s="79" t="s">
        <v>2501</v>
      </c>
      <c r="K2114" t="str">
        <f>B69</f>
        <v>S4~</v>
      </c>
      <c r="N2114" s="79">
        <v>2.3613579E7</v>
      </c>
      <c r="O2114" s="79">
        <v>2.1451693E7</v>
      </c>
      <c r="P2114" s="79" t="s">
        <v>221</v>
      </c>
    </row>
    <row r="2115">
      <c r="J2115" s="79" t="s">
        <v>2502</v>
      </c>
      <c r="K2115" t="str">
        <f>B69</f>
        <v>S4~</v>
      </c>
      <c r="N2115" s="79">
        <v>2.376406E7</v>
      </c>
      <c r="O2115" s="79">
        <v>2.1602174E7</v>
      </c>
      <c r="P2115" s="79" t="s">
        <v>224</v>
      </c>
    </row>
    <row r="2116">
      <c r="J2116" s="79" t="s">
        <v>2503</v>
      </c>
      <c r="K2116" t="str">
        <f>B69</f>
        <v>S4~</v>
      </c>
      <c r="N2116" s="79">
        <v>2.3783676E7</v>
      </c>
      <c r="O2116" s="79">
        <v>2.162179E7</v>
      </c>
      <c r="P2116" s="79" t="s">
        <v>221</v>
      </c>
    </row>
    <row r="2117">
      <c r="J2117" s="79" t="s">
        <v>2504</v>
      </c>
      <c r="K2117" t="str">
        <f>B69</f>
        <v>S4~</v>
      </c>
      <c r="N2117" s="79">
        <v>2.3792307E7</v>
      </c>
      <c r="O2117" s="79">
        <v>2.1630421E7</v>
      </c>
      <c r="P2117" s="79" t="s">
        <v>235</v>
      </c>
    </row>
    <row r="2118">
      <c r="J2118" s="79" t="s">
        <v>2505</v>
      </c>
      <c r="K2118" t="str">
        <f>B69</f>
        <v>S4~</v>
      </c>
      <c r="M2118" s="79" t="s">
        <v>2506</v>
      </c>
      <c r="N2118" s="79">
        <v>7193219.0</v>
      </c>
      <c r="O2118" s="79">
        <v>7325178.0</v>
      </c>
      <c r="P2118" s="79" t="s">
        <v>232</v>
      </c>
    </row>
    <row r="2119">
      <c r="J2119" s="79" t="s">
        <v>2507</v>
      </c>
      <c r="K2119" t="str">
        <f>B69</f>
        <v>S4~</v>
      </c>
      <c r="N2119" s="79">
        <v>1.9060265E7</v>
      </c>
      <c r="O2119" s="79">
        <v>1.6948385E7</v>
      </c>
      <c r="P2119" s="79" t="s">
        <v>242</v>
      </c>
    </row>
    <row r="2120">
      <c r="N2120" s="97"/>
      <c r="O2120" s="98"/>
      <c r="P2120" s="99"/>
    </row>
    <row r="2121">
      <c r="N2121" s="97"/>
      <c r="O2121" s="98"/>
      <c r="P2121" s="99"/>
    </row>
    <row r="2122">
      <c r="N2122" s="97"/>
      <c r="O2122" s="98"/>
      <c r="P2122" s="99"/>
    </row>
  </sheetData>
  <mergeCells count="34">
    <mergeCell ref="C1:L1"/>
    <mergeCell ref="B10:L10"/>
    <mergeCell ref="B22:L22"/>
    <mergeCell ref="B23:L23"/>
    <mergeCell ref="B24:L24"/>
    <mergeCell ref="B27:C27"/>
    <mergeCell ref="D29:J29"/>
    <mergeCell ref="E31:K31"/>
    <mergeCell ref="F32:M32"/>
    <mergeCell ref="G33:N33"/>
    <mergeCell ref="H35:M35"/>
    <mergeCell ref="H36:L36"/>
    <mergeCell ref="F38:I38"/>
    <mergeCell ref="H43:P43"/>
    <mergeCell ref="I45:J45"/>
    <mergeCell ref="K47:Q47"/>
    <mergeCell ref="K48:P48"/>
    <mergeCell ref="J50:O50"/>
    <mergeCell ref="J51:Q51"/>
    <mergeCell ref="K53:R53"/>
    <mergeCell ref="E54:N54"/>
    <mergeCell ref="C65:M65"/>
    <mergeCell ref="D66:J66"/>
    <mergeCell ref="D67:J67"/>
    <mergeCell ref="C69:M69"/>
    <mergeCell ref="A77:K77"/>
    <mergeCell ref="A79:J79"/>
    <mergeCell ref="F55:O55"/>
    <mergeCell ref="F56:O56"/>
    <mergeCell ref="G57:K57"/>
    <mergeCell ref="G58:L58"/>
    <mergeCell ref="D60:J60"/>
    <mergeCell ref="D61:J61"/>
    <mergeCell ref="D62:N62"/>
  </mergeCells>
  <hyperlinks>
    <hyperlink r:id="rId1" ref="D8"/>
    <hyperlink r:id="rId2" ref="I13"/>
    <hyperlink r:id="rId3" ref="G14"/>
    <hyperlink r:id="rId4" ref="A96"/>
    <hyperlink r:id="rId5" ref="A99"/>
    <hyperlink r:id="rId6" ref="A100"/>
    <hyperlink r:id="rId7" ref="A101"/>
    <hyperlink r:id="rId8" ref="A102"/>
    <hyperlink r:id="rId9" ref="A104"/>
    <hyperlink r:id="rId10" ref="A105"/>
    <hyperlink r:id="rId11" ref="A108"/>
    <hyperlink r:id="rId12" ref="A168"/>
    <hyperlink r:id="rId13" ref="A170"/>
    <hyperlink r:id="rId14" ref="A171"/>
    <hyperlink r:id="rId15" ref="A172"/>
  </hyperlinks>
  <drawing r:id="rId16"/>
</worksheet>
</file>