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<sst xmlns="http://schemas.openxmlformats.org/spreadsheetml/2006/main" count="1402" uniqueCount="763">
  <si>
    <t xml:space="preserve">  Y-DNA Haplogroup M and its Subclades - 2019-2020</t>
  </si>
  <si>
    <t>Downloading this spreadsheet as Excel retains format better than copying.  Links may not copy to new sheet.</t>
  </si>
  <si>
    <t xml:space="preserve">The entire work is identified by the Version Number and date given on the </t>
  </si>
  <si>
    <t>Main Page.</t>
  </si>
  <si>
    <t xml:space="preserve"> </t>
  </si>
  <si>
    <t xml:space="preserve">Directions for citing the document are listed on </t>
  </si>
  <si>
    <t>Version History</t>
  </si>
  <si>
    <t>Last revision date for this specific page: 9 April 2020</t>
  </si>
  <si>
    <t>Because of continuing research, the structure of the Y-DNA Haplogroup Tree changes amd will be updated when possible</t>
  </si>
  <si>
    <t>If the differences need clarification or if you find any broken links on this page, then:</t>
  </si>
  <si>
    <t>Email Ray Banks</t>
  </si>
  <si>
    <t>LINKS:</t>
  </si>
  <si>
    <t>Glossary</t>
  </si>
  <si>
    <t>Main Page</t>
  </si>
  <si>
    <t>SNP Index</t>
  </si>
  <si>
    <t>Papers/Presentations Cited</t>
  </si>
  <si>
    <t>FONT COLORS:</t>
  </si>
  <si>
    <t xml:space="preserve">Newly confirmed in 2019 within subclade   </t>
  </si>
  <si>
    <t xml:space="preserve">Confirmed within subclade  </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</si>
  <si>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</si>
  <si>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</si>
  <si>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</si>
  <si>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</si>
  <si>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</si>
  <si>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</si>
  <si>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</si>
  <si>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</si>
  <si>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M</t>
  </si>
  <si>
    <r>
      <rPr>
        <b/>
      </rPr>
      <t xml:space="preserve">SK1828, </t>
    </r>
    <r>
      <rPr>
        <b val="0"/>
      </rPr>
      <t>Page93/S322</t>
    </r>
  </si>
  <si>
    <t>M1</t>
  </si>
  <si>
    <r>
      <rPr>
        <b/>
      </rPr>
      <t xml:space="preserve">M4, </t>
    </r>
    <r>
      <rPr>
        <b val="0"/>
        <i/>
        <color rgb="FFB45F06"/>
      </rPr>
      <t>CTS7357.2, FGC29215,</t>
    </r>
    <r>
      <rPr>
        <b val="0"/>
      </rPr>
      <t xml:space="preserve"> M5/P73, M106, M189, M296,</t>
    </r>
    <r>
      <rPr>
        <b/>
      </rPr>
      <t xml:space="preserve"> </t>
    </r>
    <r>
      <rPr>
        <b val="0"/>
        <i/>
        <color rgb="FFB45F06"/>
      </rPr>
      <t>Page1, PH4279, PH3025, SK1845, SK1847, SK1848, SK1849, SK1850, SK1851, SK1852, SK1853, SK1854, SK1855, SK1856, SK1857, Y1422.2/Z8214.2, Y26288/Z43397, Y26291/Z43398, Y26298/Z43408, Y26299/Z43409, Y26300/Z43410, Y27828/Z43395, Y27835/Z43399, YSC0000696, Z30832, Z30839, Z30840, Z30841, Z30890, Z30891, Z30892, Z30893, Z30894, Z30895, Z30896, Z30897, Z30898, Z30899, Z30900, Z30901, Z30902, Z30903, Z30904, Z30905, Z30908, Z30909, Z30910, Z30912, Z30913, Z30914, Z30915, Z30916, Z30918, Z30919, Z30921, Z30922, Z30923, Z30924, Z30925, Z30926, Z30930, Z30931, Z30932, Z30933, Z30935, Z30936, Z30939, Z30940, Z30942, Z30943, Z30944, Z30948, Z30950, Z30951, Z30952, Z30953, Z30954, Z30956, Z30957, Z30958, Z30959, Z30960, Z30961, Z30962, Z30963, Z30964, Z30965, Z30967, Z30968, Z30972, Z30975, Z30976, Z30977, Z30979, Z30980, Z30981, Z30982, Z30984, Z30985, Z30986, Z30987, Z30988, Z30989, Z30991, Z30992, Z30993, Z30994, Z30995, Z30996, Z30998, Z30999, Z31001, Z31002, Z31004, Z31006, Z31008, Z31009, Z31011, Z31012, Z31013, Z31014, Z31015, Z31016, Z31017, Z31018, Z31019, Z31020, Z31021, Z31023, Z31024, Z31025, Z31028, Z31029, Z31031, Z31032, Z31033, Z31034, Z31035, Z31036, Z31037, Z31038, Z31039, Z31040, Z31041, Z31042, Z31043, Z31044, Z31045, Z31048, Z31049, Z31050, Z31051, Z31052, Z31054, Z31055, Z31056, Z31058, Z31059, Z31061, Z31063, Z31064, Z31065, Z31066, Z31067, Z31068, Z31072, Z31073, Z31074, Z31075, Z31076, Z31077, Z31078, Z31080, Z31081, Z31082, Z31083, Z31085, Z31086, Z31087, Z31088, Z31089, Z31090, Z31094, Z31095, Z31096, Z31099, Z31101, Z31102, Z31103, Z31104, Z31105, Z31106, Z31107, Z31108, Z31110, Z31111, Z31112, Z31113, Z31114, Z31115, Z31116, Z31117, Z31133, Z31134, Z31136, Z31137, Z31138, Z31141, Z31143. Z31144. Z31145, Z31147, Z31149, Z31150, Z31152, Z31153, Z31154, Z31155, Z31156, Z31157, Z31159, Z31160, Z31161, Z31162, Z31163, Z31165, Z31166, Z31167, Z31168, Z31169, Z31170, Z31171, Z31172, Z31173, Z31174, Z31175, Z31181, Z31182, Z31183, Z31184, Z31185, Z31187, Z31188, Z31189, Z31190. Z31191, Z31192. Z31193, Z31194, Z31195, Z31196, Z31197, Z31198, Z33312, Z33344</t>
    </r>
  </si>
  <si>
    <t>M1~</t>
  </si>
  <si>
    <t>FGC13408.2,/Z16369.2, M186, M5991, Z30911, Z30929, Z30934.1, Z30945, Z30949, Z30955, Z30966, Z30978, Z31010, Z31026, Z31057, Z31070, Z31071, Z31093, Z31097, Z31100, Z31140, Z31148, Z31164</t>
  </si>
  <si>
    <t>M1a</t>
  </si>
  <si>
    <r>
      <rPr>
        <rFont val="Arial"/>
        <b/>
        <i/>
        <color rgb="FFB45F06"/>
        <sz val="10.0"/>
      </rPr>
      <t>Z30983</t>
    </r>
    <r>
      <rPr>
        <rFont val="Arial"/>
        <i/>
        <color rgb="FFB45F06"/>
        <sz val="10.0"/>
      </rPr>
      <t>, Z30997, Z31022, Z31030, Z31069</t>
    </r>
  </si>
  <si>
    <t>M1a1</t>
  </si>
  <si>
    <r>
      <rPr>
        <rFont val="Arial"/>
        <b/>
        <i/>
        <color rgb="FFB45F06"/>
        <sz val="10.0"/>
      </rPr>
      <t>SK1846/Z43400</t>
    </r>
    <r>
      <rPr>
        <rFont val="Arial"/>
        <i/>
        <color rgb="FFB45F06"/>
        <sz val="10.0"/>
      </rPr>
      <t>, Z30917</t>
    </r>
  </si>
  <si>
    <t>M1a1a</t>
  </si>
  <si>
    <r>
      <rPr>
        <b/>
        <i/>
      </rPr>
      <t xml:space="preserve">BY8413.1/Z30938.1, </t>
    </r>
    <r>
      <rPr>
        <b val="0"/>
        <i/>
      </rPr>
      <t>SK1869, Z30835, Z30907, Z30917, Z30920, Z30928, Z30937, Z31000, Z31005, Z31007, Z31046, Z31060, Z31062, Z31079, Z31151, Z31158</t>
    </r>
  </si>
  <si>
    <t>M1a1a1~</t>
  </si>
  <si>
    <t>P94</t>
  </si>
  <si>
    <t>M1a1a2</t>
  </si>
  <si>
    <r>
      <rPr>
        <b/>
        <i/>
      </rPr>
      <t xml:space="preserve">Z30928, </t>
    </r>
    <r>
      <rPr>
        <b val="0"/>
        <i/>
      </rPr>
      <t>Z31007, Z31146</t>
    </r>
  </si>
  <si>
    <t>M1a1a2a</t>
  </si>
  <si>
    <t>P87</t>
  </si>
  <si>
    <t>M1a1a2a1</t>
  </si>
  <si>
    <t>M104_1^^/P22_1^^, M104_2^^/P22_2^^</t>
  </si>
  <si>
    <t>M1a2a2a1~</t>
  </si>
  <si>
    <t>F2561/Page67</t>
  </si>
  <si>
    <t>M1a2a2a2~</t>
  </si>
  <si>
    <t>FGC24709, FGC36703, SK1877, SK1879, Z42236, Z42237, Z42238, Z42239, Z42240, Z42241, Z42242, Z42243, Z42244, Z42245, Z42246, Z42247, Z42248, Z42249, Z42250, Z42251, Z42252, Z42253, Z42254, Z42255, Z42256, Z42257, Z42258, Z42259, Z42260, Z42261, Z42262, Z42263, Z42264, Z42265, Z42266, Z42267, Z42268, Z42269, Z42270, Z42271, Z42272, Z42273, Z42274, Z42275, Z42276, Z42277, Z42278, Z42279, Z42280</t>
  </si>
  <si>
    <t>M1a1a2a2a</t>
  </si>
  <si>
    <t>M16</t>
  </si>
  <si>
    <t>M1a1a2a2b</t>
  </si>
  <si>
    <t>M83</t>
  </si>
  <si>
    <t>M1a1a1a1b~</t>
  </si>
  <si>
    <t>SK1881, Z42285, Z42286, Z42287</t>
  </si>
  <si>
    <t>M1a1a1a1c~</t>
  </si>
  <si>
    <t>SK1880, Z42281, Z42282, Z42283, Z42284</t>
  </si>
  <si>
    <t>M1a1a3~</t>
  </si>
  <si>
    <t>Z33330, Z33345, Z42288</t>
  </si>
  <si>
    <t>M1a1a3a~</t>
  </si>
  <si>
    <t>P51, SK1872, Z42289, Z42290, Z42291, Z42292</t>
  </si>
  <si>
    <t>M1a1a3b</t>
  </si>
  <si>
    <r>
      <rPr>
        <rFont val="Arial"/>
        <b/>
        <i/>
        <sz val="10.0"/>
      </rPr>
      <t xml:space="preserve">B256, </t>
    </r>
    <r>
      <rPr>
        <rFont val="Arial"/>
        <b val="0"/>
        <i/>
        <sz val="10.0"/>
      </rPr>
      <t>SK1882, Z31135, Z33309, Z33313, Z33318, Z33319, Z33323, Z33325, Z33331, Z33336, Z33343, Z33347, Z33348, Z33350</t>
    </r>
  </si>
  <si>
    <t>M1a1a3b~</t>
  </si>
  <si>
    <t>Z33310, Z33311, Z33317, Z33320, Z33321, Z33324, Z33326, Z33327, Z33332, Z33337, Z33341, Z33351</t>
  </si>
  <si>
    <t>M1a1a3b1</t>
  </si>
  <si>
    <r>
      <rPr>
        <rFont val="Arial"/>
        <b/>
        <i/>
      </rPr>
      <t xml:space="preserve">Z33322, </t>
    </r>
    <r>
      <rPr>
        <rFont val="Arial"/>
        <b val="0"/>
        <i/>
      </rPr>
      <t>Z33328</t>
    </r>
  </si>
  <si>
    <t>M1a1a3b1~</t>
  </si>
  <si>
    <t>Z33114. Z33315, Z33316, Z33317, Z33329, Z33333, Z33339, Z33340, Z33342</t>
  </si>
  <si>
    <t>M1a1a3b1a~</t>
  </si>
  <si>
    <t>SK1889, Z42293, Z42294, Z42295, Z42296</t>
  </si>
  <si>
    <t>M1a1a3b1b</t>
  </si>
  <si>
    <r>
      <rPr>
        <rFont val="Arial"/>
        <b/>
        <i/>
        <sz val="10.0"/>
      </rPr>
      <t xml:space="preserve">Z42297, </t>
    </r>
    <r>
      <rPr>
        <rFont val="Arial"/>
        <b val="0"/>
        <i/>
        <sz val="10.0"/>
      </rPr>
      <t>Z42298, Z42299. Z42300, Z42301, Z42302, Z42303, Z42304, Z42305, Z42306, Z42307, Z42308, Z42309, Z42310, Z42311, Z42312, Z42313, Z42314, Z42315, Z42307, Z42308, Z42309, Z42310, Z42311, Z42312, Z42313, Z42314, Z42315, Z42316, Z42317. Z42318, Z42319, Z42320, Z42321, Z42322</t>
    </r>
  </si>
  <si>
    <t>M1a1a3b1b1~</t>
  </si>
  <si>
    <t>Y26302/Z42326, Z42323, Z42324, Z42325, Z42327</t>
  </si>
  <si>
    <t>M1a1a3b1b2~</t>
  </si>
  <si>
    <t>BY3630.2, F1295.2, Z42328, Z42329, Z42330</t>
  </si>
  <si>
    <t>M1a1a3b1c</t>
  </si>
  <si>
    <r>
      <rPr>
        <b/>
        <i/>
      </rPr>
      <t xml:space="preserve">B269, </t>
    </r>
    <r>
      <rPr>
        <b val="0"/>
        <i/>
      </rPr>
      <t>Z31204.2, Z33269, Z33270, Z33271, Z33272, Z33273, Z33274, Z33276, Z33277, Z33278, Z33279, Z33280, Z33281, Z33282, Z33283, Z33284, Z33277, Z33278, Z33279, Z33280, Z33281, Z33282, Z33283, Z33284, Z33285, Z33286, Z33288, Z33289, Z33290, Z33291, Z33292, Z33293, Z33295, Z33296, Z33297, Z33298, Z33299, Z33300</t>
    </r>
  </si>
  <si>
    <t>M1a1a3b1c1~</t>
  </si>
  <si>
    <t>B271, Z33302, Z33305, Z33307, Z33308</t>
  </si>
  <si>
    <t>M1a1a3b1c2~</t>
  </si>
  <si>
    <t>B270, Z38339, Z38340, Z38341</t>
  </si>
  <si>
    <t>M1a1a3b1d~</t>
  </si>
  <si>
    <t>B272, Z33740. Z33741, Z33742, Z33743</t>
  </si>
  <si>
    <t>M1a1a3b2</t>
  </si>
  <si>
    <r>
      <rPr>
        <b/>
        <i/>
      </rPr>
      <t>Y26293/Z43837</t>
    </r>
    <r>
      <rPr>
        <b val="0"/>
        <i/>
      </rPr>
      <t>, Z43838</t>
    </r>
  </si>
  <si>
    <t>M1a1a3b2~</t>
  </si>
  <si>
    <t>M10781/S20812/ZS4770</t>
  </si>
  <si>
    <t>M1a1a3b2a~</t>
  </si>
  <si>
    <t>Z42538, Z42539, Z42540, Z42541, Z42542</t>
  </si>
  <si>
    <t>M1a1a3b2b~</t>
  </si>
  <si>
    <t>Z43832. Z43833, Z43834, Z43835, Z43836</t>
  </si>
  <si>
    <t>M1a2~</t>
  </si>
  <si>
    <t>Z43411, Z43412, Z43413, Z43414, Z43415</t>
  </si>
  <si>
    <t>M1b~</t>
  </si>
  <si>
    <t>FT254675</t>
  </si>
  <si>
    <t>M2</t>
  </si>
  <si>
    <r>
      <rPr>
        <b/>
      </rPr>
      <t xml:space="preserve">M353, </t>
    </r>
    <r>
      <rPr>
        <b val="0"/>
      </rPr>
      <t>M387</t>
    </r>
  </si>
  <si>
    <t>M2~</t>
  </si>
  <si>
    <t>PF4350.1</t>
  </si>
  <si>
    <t>M2a</t>
  </si>
  <si>
    <t>M177^^/SRY9138^^</t>
  </si>
  <si>
    <t>M3</t>
  </si>
  <si>
    <t>P117</t>
  </si>
  <si>
    <t xml:space="preserve">     MUTATION INFORMATION AT VERY BOTTOM HERE</t>
  </si>
  <si>
    <t>NOTES:</t>
  </si>
  <si>
    <t xml:space="preserve">Identical SNPs that were discovered separately are listed in alphabetical order, not necessarily in the order of discovery, </t>
  </si>
  <si>
    <t>and separated by "/". Examples: M5/P73, M104/P22, M177, SRY9138</t>
  </si>
  <si>
    <t>Removed P35_1, P35_2, P35_3, not meeting quality guidelines on 11 August 2016.</t>
  </si>
  <si>
    <t xml:space="preserve">The chromosome location for M-P256 shown in Karafet (2008) seems off by one chromosome position. </t>
  </si>
  <si>
    <t xml:space="preserve">All M samples from next-generation sequencing show the same mutation at adjacent chromosome position 8685231. </t>
  </si>
  <si>
    <t>So this is the position tentatively listed in the ISOGG index. Listed 31 August 2016.</t>
  </si>
  <si>
    <t xml:space="preserve">Y-DNA haplogroup M </t>
  </si>
  <si>
    <t>reaches its known peak in Papua New Guinea, totaling one-third to two-thirds of population.</t>
  </si>
  <si>
    <t>The haplogroup M Aborigines in Australia seem comparatively to be the most recent arrivals among Aborigines (Bergstrom).</t>
  </si>
  <si>
    <t>Geographic distribution so far of ancestry of modern-day haplogroup M subgroup men (not complete):</t>
  </si>
  <si>
    <t>Papua New Guinea</t>
  </si>
  <si>
    <t>Z42297</t>
  </si>
  <si>
    <t>N. Australia (Aborigines)</t>
  </si>
  <si>
    <t>B269</t>
  </si>
  <si>
    <t>Papua New Guinea (Kosibes)</t>
  </si>
  <si>
    <t>B272</t>
  </si>
  <si>
    <t>Y26293/Z43837 Papua New Guinea</t>
  </si>
  <si>
    <t>M1a2</t>
  </si>
  <si>
    <t>Z43411</t>
  </si>
  <si>
    <t>M1b</t>
  </si>
  <si>
    <t>Indonesia (Maluku Isl.)</t>
  </si>
  <si>
    <t>M177</t>
  </si>
  <si>
    <t>Melanesia</t>
  </si>
  <si>
    <t>References:</t>
  </si>
  <si>
    <t>Bergstrom et al, Deep Roots for Aboriginal Australian Y Chromosomes. (pdf) Current Biology, 26:809-813, (2016).</t>
  </si>
  <si>
    <t>Bergstrom et al, A Neolithic Expansion, but Strong Genetic Structure, in the Independent History of New Guinea Science, 357:1160-1163 (2017).</t>
  </si>
  <si>
    <t>Cox M P &amp; Lahr M M, Y-Chromosome Diversity Is Inversely Associated with Language Affiliation in Paired Austronesian- and Papuan-Speaking Communities from Solomon Islands. (pdf) American Journal of Human Biology, 18:35-50, 2006.</t>
  </si>
  <si>
    <t>Hurles et al, European Y-Chromosomal Lineages in Polynesians: A Contrast to the Population Structure Revealed by mtDNA. American Journal of Human Genetics, 63:1793-1806, 1998.</t>
  </si>
  <si>
    <t>Hurles et al, Y Chromosomal Evidence for the Origins of Oceanic-Speaking Peoples. Genetics, 160:289-303, January 2002.</t>
  </si>
  <si>
    <t>Karmin et al, A Recent Bottleneck of Y chromosome Diversity Coincides with a Global Change in Culture. Genome Research, doi: 10.1101/gr.186684.114, published online March 13, 2015.</t>
  </si>
  <si>
    <t>Kayser et al, The Impact of the Austronesian Expansion: Evidence from mtDNa and Y Chromosome Diversity in the Admiralty Islands of Melanesia. Molecular Biology Evolution, 25(7):1362-1374, 2008.</t>
  </si>
  <si>
    <t>Kayser et al, Independent Histories of Human Y Chromosomes from Melanesia and Australia. American Journal of Human Genetics, 68:173-190, 2001.</t>
  </si>
  <si>
    <t>Kayser et al, Melanesian and Asian Origins of Polynesians: mtDNA and Y-Chromosome Gradients across the Pacific. MBE Advance Access published August 21, 2006.</t>
  </si>
  <si>
    <t>Kayser et al, Melanesian Origin of Polynesian Y Chromosomes. Current Biology, Vol. 10, No. 20, September 2000.</t>
  </si>
  <si>
    <t>Kayser et al. Reduced Y-Chromosome, but Not Mitochondrial DNA, Diversity in Human Populations from West New Guinea. American Journal of Human Genetics, 72:281-302, 2003.</t>
  </si>
  <si>
    <t>Mona et al, Patterns of Y-chromosome Diversity Intersect with the Trans-New Guinea Hypothesis. Mol Biol Evol. 2007 Sep 10; [Epub ahead of print]</t>
  </si>
  <si>
    <t>Rozen et al, Remarkably Little Variation in Proteins Encoded by the Y Chromosome's Single-Copy Genes, Implying Effective Purifying Selection. American Journal of Human Genetics. 2009 December 11; 85(6): 923-928.</t>
  </si>
  <si>
    <t>Scheinfeldt et al, Unexpected NRY Chromosome Variation in Northern Island Melanesia. Society for Molecular Biology, 2006.</t>
  </si>
  <si>
    <t>Additional Resources:</t>
  </si>
  <si>
    <t>ISOGG Wiki</t>
  </si>
  <si>
    <t>What you need to know about Genetic Genealogy.</t>
  </si>
  <si>
    <t>Corrections/Additions made since 1 January 2019:</t>
  </si>
  <si>
    <t>Typographical errors were corrected on 14 Jan 2022 - mostly elimination of duplicate info</t>
  </si>
  <si>
    <t>None, but many mutations in brown upgraded to confirmed status on 10 April 2020.</t>
  </si>
  <si>
    <t xml:space="preserve">Back to </t>
  </si>
  <si>
    <t>Copyright 2020, International Society of Genetic Genealogy. All Rights Reserved.</t>
  </si>
  <si>
    <t xml:space="preserve">  MUTATION INFORMATION</t>
  </si>
  <si>
    <t xml:space="preserve">If copying this section just below, choose Paste Special, then Values, otherwise the haplogroup contents will not copy </t>
  </si>
  <si>
    <t>Name</t>
  </si>
  <si>
    <t>Haplogroup</t>
  </si>
  <si>
    <t>Other Names</t>
  </si>
  <si>
    <t>rs #</t>
  </si>
  <si>
    <t>Build 37 #</t>
  </si>
  <si>
    <t>Build 38 #</t>
  </si>
  <si>
    <t>Mutation info</t>
  </si>
  <si>
    <t>SK1828</t>
  </si>
  <si>
    <t>G-&gt;A</t>
  </si>
  <si>
    <t>Page93</t>
  </si>
  <si>
    <t>S322</t>
  </si>
  <si>
    <t>rs34486382</t>
  </si>
  <si>
    <t>G-&gt;T</t>
  </si>
  <si>
    <t>M4</t>
  </si>
  <si>
    <t>rs3895</t>
  </si>
  <si>
    <t>T-&gt;C</t>
  </si>
  <si>
    <t>CTS7357.2</t>
  </si>
  <si>
    <t>rs763267999</t>
  </si>
  <si>
    <t>A-&gt;G</t>
  </si>
  <si>
    <t>FGC29215</t>
  </si>
  <si>
    <t>C-&gt;T</t>
  </si>
  <si>
    <t>M5</t>
  </si>
  <si>
    <t>P73</t>
  </si>
  <si>
    <t>rs3896</t>
  </si>
  <si>
    <t>M106</t>
  </si>
  <si>
    <t>rs2032611</t>
  </si>
  <si>
    <t>M189</t>
  </si>
  <si>
    <t>rs2032606</t>
  </si>
  <si>
    <t>M296</t>
  </si>
  <si>
    <t>rs9341319</t>
  </si>
  <si>
    <t>Page1</t>
  </si>
  <si>
    <t>rs34820858</t>
  </si>
  <si>
    <t>PH4279</t>
  </si>
  <si>
    <t>rs765015214</t>
  </si>
  <si>
    <t>PH3025</t>
  </si>
  <si>
    <t>rs776850039</t>
  </si>
  <si>
    <t>SK1845</t>
  </si>
  <si>
    <t>SK1847</t>
  </si>
  <si>
    <t>SK1848</t>
  </si>
  <si>
    <t>rs972502323</t>
  </si>
  <si>
    <t>SK1849</t>
  </si>
  <si>
    <t>SK1850</t>
  </si>
  <si>
    <t>SK1851</t>
  </si>
  <si>
    <t>rs1466997937</t>
  </si>
  <si>
    <t>SK1852</t>
  </si>
  <si>
    <t>SK1853</t>
  </si>
  <si>
    <t>SK1854</t>
  </si>
  <si>
    <t>SK1855</t>
  </si>
  <si>
    <t>SK1856</t>
  </si>
  <si>
    <t>SK1857</t>
  </si>
  <si>
    <t>Y1422.2</t>
  </si>
  <si>
    <t>Z8214.2</t>
  </si>
  <si>
    <t>rs369289787</t>
  </si>
  <si>
    <t>YSC0000696</t>
  </si>
  <si>
    <t>Y26288</t>
  </si>
  <si>
    <t>Z43397</t>
  </si>
  <si>
    <t>Y26291</t>
  </si>
  <si>
    <t>Z43398</t>
  </si>
  <si>
    <t>Y26294</t>
  </si>
  <si>
    <t>Z43404</t>
  </si>
  <si>
    <t>C-&gt;A</t>
  </si>
  <si>
    <t>Y26298</t>
  </si>
  <si>
    <t>Z43408</t>
  </si>
  <si>
    <t>Y26299</t>
  </si>
  <si>
    <t>Z43409</t>
  </si>
  <si>
    <t>T-&gt;A</t>
  </si>
  <si>
    <t>Y26300</t>
  </si>
  <si>
    <t>Z43410</t>
  </si>
  <si>
    <t>G-&gt;C</t>
  </si>
  <si>
    <t>Y27828</t>
  </si>
  <si>
    <t>Z43395</t>
  </si>
  <si>
    <t>Y27835</t>
  </si>
  <si>
    <t>Z43399</t>
  </si>
  <si>
    <t>Y27836</t>
  </si>
  <si>
    <t>Z43403</t>
  </si>
  <si>
    <t>Z30832</t>
  </si>
  <si>
    <t>Z30839</t>
  </si>
  <si>
    <t>C-&gt;G</t>
  </si>
  <si>
    <t>Z30840</t>
  </si>
  <si>
    <t>Z30841</t>
  </si>
  <si>
    <t>Z30890</t>
  </si>
  <si>
    <t>Z30891</t>
  </si>
  <si>
    <t>Z30892</t>
  </si>
  <si>
    <t>Z30893</t>
  </si>
  <si>
    <t>Z30894</t>
  </si>
  <si>
    <t>Z30895</t>
  </si>
  <si>
    <t>Z30896</t>
  </si>
  <si>
    <t>Z30897</t>
  </si>
  <si>
    <t>Z30898</t>
  </si>
  <si>
    <t>Z30899</t>
  </si>
  <si>
    <t>Z30900</t>
  </si>
  <si>
    <t>Z30901</t>
  </si>
  <si>
    <t>Z30902</t>
  </si>
  <si>
    <t>Z30903</t>
  </si>
  <si>
    <t>Z30904</t>
  </si>
  <si>
    <t>Z30905</t>
  </si>
  <si>
    <t>T-&gt;G</t>
  </si>
  <si>
    <t>Z30908</t>
  </si>
  <si>
    <t>Z30909</t>
  </si>
  <si>
    <t>Z30910</t>
  </si>
  <si>
    <t>Z30912</t>
  </si>
  <si>
    <t>Z30913</t>
  </si>
  <si>
    <t>Z30914</t>
  </si>
  <si>
    <t>Z30915</t>
  </si>
  <si>
    <t>Z30916</t>
  </si>
  <si>
    <t>Z30918</t>
  </si>
  <si>
    <t>Z30919</t>
  </si>
  <si>
    <t>Z30921</t>
  </si>
  <si>
    <t>Z30922</t>
  </si>
  <si>
    <t>Z30923</t>
  </si>
  <si>
    <t>Z30924</t>
  </si>
  <si>
    <t>Z30925</t>
  </si>
  <si>
    <t>Z30926</t>
  </si>
  <si>
    <t>Z30930</t>
  </si>
  <si>
    <t>Z30931</t>
  </si>
  <si>
    <t>Z30932</t>
  </si>
  <si>
    <t>Z30933</t>
  </si>
  <si>
    <t>Z30935</t>
  </si>
  <si>
    <t>Z30936</t>
  </si>
  <si>
    <t>Z30939</t>
  </si>
  <si>
    <t>Z30940</t>
  </si>
  <si>
    <t>Z30942</t>
  </si>
  <si>
    <t>Z30943</t>
  </si>
  <si>
    <t>Z30944</t>
  </si>
  <si>
    <t>Z30948</t>
  </si>
  <si>
    <t>Z30950</t>
  </si>
  <si>
    <t>Z30951</t>
  </si>
  <si>
    <t>A-&gt;C</t>
  </si>
  <si>
    <t>Z30952</t>
  </si>
  <si>
    <t>Z30953</t>
  </si>
  <si>
    <t>Z30954</t>
  </si>
  <si>
    <t>Z30956</t>
  </si>
  <si>
    <t>Z30957</t>
  </si>
  <si>
    <t>Z30958</t>
  </si>
  <si>
    <t>rs1477971071</t>
  </si>
  <si>
    <t>Z30959</t>
  </si>
  <si>
    <t>Z30960</t>
  </si>
  <si>
    <t>Z30961</t>
  </si>
  <si>
    <t>Z30962</t>
  </si>
  <si>
    <t>Z30963</t>
  </si>
  <si>
    <t>Z30964</t>
  </si>
  <si>
    <t>Z30965</t>
  </si>
  <si>
    <t>Z30967</t>
  </si>
  <si>
    <t>Z30968</t>
  </si>
  <si>
    <t>Z30972</t>
  </si>
  <si>
    <t>Z30975</t>
  </si>
  <si>
    <t>Z30976</t>
  </si>
  <si>
    <t>Z30977</t>
  </si>
  <si>
    <t>Z30979</t>
  </si>
  <si>
    <t>Z30980</t>
  </si>
  <si>
    <t>A-&gt;T</t>
  </si>
  <si>
    <t>Z30981</t>
  </si>
  <si>
    <t>Z30982</t>
  </si>
  <si>
    <t>Z30984</t>
  </si>
  <si>
    <t>Z30985</t>
  </si>
  <si>
    <t>Z30986</t>
  </si>
  <si>
    <t>Z30987</t>
  </si>
  <si>
    <t>Z30988</t>
  </si>
  <si>
    <t>Z30989</t>
  </si>
  <si>
    <t>Z30991</t>
  </si>
  <si>
    <t>Z30992</t>
  </si>
  <si>
    <t>Z30993</t>
  </si>
  <si>
    <t>Z30994</t>
  </si>
  <si>
    <t>Z30995</t>
  </si>
  <si>
    <t>Z30996</t>
  </si>
  <si>
    <t>Z30998</t>
  </si>
  <si>
    <t>Z30999</t>
  </si>
  <si>
    <t>Z31001</t>
  </si>
  <si>
    <t>Z31002</t>
  </si>
  <si>
    <t>Z31004</t>
  </si>
  <si>
    <t>Z31006</t>
  </si>
  <si>
    <t>Z31008</t>
  </si>
  <si>
    <t>Z31009</t>
  </si>
  <si>
    <t>Z31011</t>
  </si>
  <si>
    <t>Z31012</t>
  </si>
  <si>
    <t>Z31013</t>
  </si>
  <si>
    <t>Z31014</t>
  </si>
  <si>
    <t>Z31015</t>
  </si>
  <si>
    <t>Z31016</t>
  </si>
  <si>
    <t>Z31017</t>
  </si>
  <si>
    <t>Z31018</t>
  </si>
  <si>
    <t>Z31019</t>
  </si>
  <si>
    <t>Z31020</t>
  </si>
  <si>
    <t>Z31021</t>
  </si>
  <si>
    <t>Z31023</t>
  </si>
  <si>
    <t>rs990233096</t>
  </si>
  <si>
    <t>Z31024</t>
  </si>
  <si>
    <t>Z31025</t>
  </si>
  <si>
    <t>Z31028</t>
  </si>
  <si>
    <t>Z31029</t>
  </si>
  <si>
    <t>Z31031</t>
  </si>
  <si>
    <t>Z31032</t>
  </si>
  <si>
    <t>rs985809826</t>
  </si>
  <si>
    <t>Z31033</t>
  </si>
  <si>
    <t>Z31034</t>
  </si>
  <si>
    <t>Z31035</t>
  </si>
  <si>
    <t>Z31036</t>
  </si>
  <si>
    <t>Z31037</t>
  </si>
  <si>
    <t>Z31038</t>
  </si>
  <si>
    <t>Z31039</t>
  </si>
  <si>
    <t>Z31040</t>
  </si>
  <si>
    <t>Z31041</t>
  </si>
  <si>
    <t>Z31042</t>
  </si>
  <si>
    <t>Z31043</t>
  </si>
  <si>
    <t>Z31044</t>
  </si>
  <si>
    <t>Z31045</t>
  </si>
  <si>
    <t>Z31048</t>
  </si>
  <si>
    <t>Z31049</t>
  </si>
  <si>
    <t>Z31050</t>
  </si>
  <si>
    <t>Z31051</t>
  </si>
  <si>
    <t>Z31052</t>
  </si>
  <si>
    <t>Z31054</t>
  </si>
  <si>
    <t>Z31055</t>
  </si>
  <si>
    <t>Z31056</t>
  </si>
  <si>
    <t>Z31058</t>
  </si>
  <si>
    <t>Z31059</t>
  </si>
  <si>
    <t>Z31061</t>
  </si>
  <si>
    <t>Z31063</t>
  </si>
  <si>
    <t>Z31064</t>
  </si>
  <si>
    <t>Z31065</t>
  </si>
  <si>
    <t>Z31066</t>
  </si>
  <si>
    <t>Z31067</t>
  </si>
  <si>
    <t>Z31068</t>
  </si>
  <si>
    <t>Z31072</t>
  </si>
  <si>
    <t>Z31073</t>
  </si>
  <si>
    <t>Z31074</t>
  </si>
  <si>
    <t>Z31075</t>
  </si>
  <si>
    <t>Z31076</t>
  </si>
  <si>
    <t>Z31077</t>
  </si>
  <si>
    <t>Z31078</t>
  </si>
  <si>
    <t>Z31080</t>
  </si>
  <si>
    <t>Z31081</t>
  </si>
  <si>
    <t>Z31082</t>
  </si>
  <si>
    <t>Z31083</t>
  </si>
  <si>
    <t>Z31085</t>
  </si>
  <si>
    <t>Z31086</t>
  </si>
  <si>
    <t>Z31087</t>
  </si>
  <si>
    <t>Z31088</t>
  </si>
  <si>
    <t>Z31089</t>
  </si>
  <si>
    <t>Z31090</t>
  </si>
  <si>
    <t>Z31094</t>
  </si>
  <si>
    <t>Z31095</t>
  </si>
  <si>
    <t>Z31096</t>
  </si>
  <si>
    <t>Z31099</t>
  </si>
  <si>
    <t>Z31101</t>
  </si>
  <si>
    <t>Z31102</t>
  </si>
  <si>
    <t>Z31103</t>
  </si>
  <si>
    <t>Z31104</t>
  </si>
  <si>
    <t>Z31105</t>
  </si>
  <si>
    <t>Z31106</t>
  </si>
  <si>
    <t>Z31107</t>
  </si>
  <si>
    <t>Z31108</t>
  </si>
  <si>
    <t>Z31110</t>
  </si>
  <si>
    <t>rs915283150</t>
  </si>
  <si>
    <t>Z31111</t>
  </si>
  <si>
    <t>Z31112</t>
  </si>
  <si>
    <t>Z31113</t>
  </si>
  <si>
    <t>Z31114</t>
  </si>
  <si>
    <t>Z31115</t>
  </si>
  <si>
    <t>Z31116</t>
  </si>
  <si>
    <t>Z31117</t>
  </si>
  <si>
    <t>Z31133</t>
  </si>
  <si>
    <t>Z31134</t>
  </si>
  <si>
    <t>Z31136</t>
  </si>
  <si>
    <t>Z31137</t>
  </si>
  <si>
    <t>Z31138</t>
  </si>
  <si>
    <t>Z31141</t>
  </si>
  <si>
    <t>Z31143</t>
  </si>
  <si>
    <t>Z31144</t>
  </si>
  <si>
    <t>Z31145</t>
  </si>
  <si>
    <t>Z31147</t>
  </si>
  <si>
    <t>Z31149</t>
  </si>
  <si>
    <t>Z31150</t>
  </si>
  <si>
    <t>Z31152</t>
  </si>
  <si>
    <t>Z31153</t>
  </si>
  <si>
    <t>Z31154</t>
  </si>
  <si>
    <t>Z31155</t>
  </si>
  <si>
    <t>Z31156</t>
  </si>
  <si>
    <t>Z31157</t>
  </si>
  <si>
    <t>Z31159</t>
  </si>
  <si>
    <t>Z31160</t>
  </si>
  <si>
    <t>Z31161</t>
  </si>
  <si>
    <t>rs920979989</t>
  </si>
  <si>
    <t>Z31162</t>
  </si>
  <si>
    <t>Z31163</t>
  </si>
  <si>
    <t>Z31165</t>
  </si>
  <si>
    <t>Z31166</t>
  </si>
  <si>
    <t>Z31167</t>
  </si>
  <si>
    <t>Z31168</t>
  </si>
  <si>
    <t>Z31169</t>
  </si>
  <si>
    <t>Z31170</t>
  </si>
  <si>
    <t>Z31171</t>
  </si>
  <si>
    <t>Z31172</t>
  </si>
  <si>
    <t>Z31173</t>
  </si>
  <si>
    <t>Z31174</t>
  </si>
  <si>
    <t>Z31175</t>
  </si>
  <si>
    <t>Z31181</t>
  </si>
  <si>
    <t>Z31182</t>
  </si>
  <si>
    <t>Z31183</t>
  </si>
  <si>
    <t>Z31184</t>
  </si>
  <si>
    <t>Z31185</t>
  </si>
  <si>
    <t>Z31187</t>
  </si>
  <si>
    <t>Z31188</t>
  </si>
  <si>
    <t>Z31189</t>
  </si>
  <si>
    <t>Z31190</t>
  </si>
  <si>
    <t>Z31191</t>
  </si>
  <si>
    <t>Z31192</t>
  </si>
  <si>
    <t>Z31193</t>
  </si>
  <si>
    <t>Z31194</t>
  </si>
  <si>
    <t>Z31195</t>
  </si>
  <si>
    <t>Z31196</t>
  </si>
  <si>
    <t>Z31197</t>
  </si>
  <si>
    <t>Z31198</t>
  </si>
  <si>
    <t>Z33312</t>
  </si>
  <si>
    <t>Z33344</t>
  </si>
  <si>
    <t>FGC13408.2</t>
  </si>
  <si>
    <t>Z1639.2</t>
  </si>
  <si>
    <t>rs1039187893</t>
  </si>
  <si>
    <t>M186</t>
  </si>
  <si>
    <t>G-&gt;del</t>
  </si>
  <si>
    <t>M5991</t>
  </si>
  <si>
    <t>rs556563930</t>
  </si>
  <si>
    <t>Z30911</t>
  </si>
  <si>
    <t>Z30929</t>
  </si>
  <si>
    <t>Z30934.1</t>
  </si>
  <si>
    <t>rs775425105</t>
  </si>
  <si>
    <t>Z30945</t>
  </si>
  <si>
    <t>Z30949</t>
  </si>
  <si>
    <t>Z30955</t>
  </si>
  <si>
    <t>Z30966</t>
  </si>
  <si>
    <t>Z30978</t>
  </si>
  <si>
    <t>Z31010</t>
  </si>
  <si>
    <t>Z31026</t>
  </si>
  <si>
    <t>Z31057</t>
  </si>
  <si>
    <t>Z31070</t>
  </si>
  <si>
    <t>Z31071</t>
  </si>
  <si>
    <t>Z31093</t>
  </si>
  <si>
    <t>Z31097</t>
  </si>
  <si>
    <t>Z31100</t>
  </si>
  <si>
    <t>Z31140</t>
  </si>
  <si>
    <t>Z31148</t>
  </si>
  <si>
    <t>Z31164</t>
  </si>
  <si>
    <t>Z30983</t>
  </si>
  <si>
    <t>Z30997</t>
  </si>
  <si>
    <t>Z31022</t>
  </si>
  <si>
    <t>Z31030</t>
  </si>
  <si>
    <t>Z31069</t>
  </si>
  <si>
    <t>SK1846</t>
  </si>
  <si>
    <t>Z43400</t>
  </si>
  <si>
    <t>Z30917</t>
  </si>
  <si>
    <t>BY8413.1</t>
  </si>
  <si>
    <t>Z30938.1</t>
  </si>
  <si>
    <t>SK1869</t>
  </si>
  <si>
    <t>Z30835</t>
  </si>
  <si>
    <t>Z30907</t>
  </si>
  <si>
    <t>Z30920</t>
  </si>
  <si>
    <t>Z30928</t>
  </si>
  <si>
    <t>Z30937</t>
  </si>
  <si>
    <t>Z31000</t>
  </si>
  <si>
    <t>Z31005</t>
  </si>
  <si>
    <t>Z31007</t>
  </si>
  <si>
    <t>Z31046</t>
  </si>
  <si>
    <t>Z31060</t>
  </si>
  <si>
    <t>Z31062</t>
  </si>
  <si>
    <t>Z31079</t>
  </si>
  <si>
    <t>Z31151</t>
  </si>
  <si>
    <t>Z31158</t>
  </si>
  <si>
    <t>Z31146</t>
  </si>
  <si>
    <t>rs868292303</t>
  </si>
  <si>
    <t>M104_1^^</t>
  </si>
  <si>
    <t>P22_1^^</t>
  </si>
  <si>
    <t>M104_2^^</t>
  </si>
  <si>
    <t>P22_2^^</t>
  </si>
  <si>
    <t>F2561</t>
  </si>
  <si>
    <t>Page67</t>
  </si>
  <si>
    <t>rs35852845</t>
  </si>
  <si>
    <t>FGC24709</t>
  </si>
  <si>
    <t>FGC36703</t>
  </si>
  <si>
    <t>SK1877</t>
  </si>
  <si>
    <t>rs907039672</t>
  </si>
  <si>
    <t>SK1879</t>
  </si>
  <si>
    <t>Z42236</t>
  </si>
  <si>
    <t>Z42237</t>
  </si>
  <si>
    <t>Z42238</t>
  </si>
  <si>
    <t>Z42239</t>
  </si>
  <si>
    <t>Z42240</t>
  </si>
  <si>
    <t>Z42241</t>
  </si>
  <si>
    <t>Z42242</t>
  </si>
  <si>
    <t>Z42243</t>
  </si>
  <si>
    <t>Z42244</t>
  </si>
  <si>
    <t>Z42245</t>
  </si>
  <si>
    <t>Z42246</t>
  </si>
  <si>
    <t>Z42247</t>
  </si>
  <si>
    <t>Z42248</t>
  </si>
  <si>
    <t>Z42249</t>
  </si>
  <si>
    <t>Z42250</t>
  </si>
  <si>
    <t>Z42251</t>
  </si>
  <si>
    <t>Z42252</t>
  </si>
  <si>
    <t>Z42253</t>
  </si>
  <si>
    <t>Z42254</t>
  </si>
  <si>
    <t>Z42255</t>
  </si>
  <si>
    <t>Z42256</t>
  </si>
  <si>
    <t>Z42257</t>
  </si>
  <si>
    <t>rs1013506222</t>
  </si>
  <si>
    <t>Z42258</t>
  </si>
  <si>
    <t>Z42259</t>
  </si>
  <si>
    <t>Z42260</t>
  </si>
  <si>
    <t>Z42261</t>
  </si>
  <si>
    <t>Z42262</t>
  </si>
  <si>
    <t>rs1252039405</t>
  </si>
  <si>
    <t>Z42263</t>
  </si>
  <si>
    <t>Z42264</t>
  </si>
  <si>
    <t>Z42265</t>
  </si>
  <si>
    <t>Z42266</t>
  </si>
  <si>
    <t>Z42267</t>
  </si>
  <si>
    <t>Z42268</t>
  </si>
  <si>
    <t>Z42269</t>
  </si>
  <si>
    <t>Z42270</t>
  </si>
  <si>
    <t>Z42271</t>
  </si>
  <si>
    <t>Z42272</t>
  </si>
  <si>
    <t>Z42273</t>
  </si>
  <si>
    <t>Z42274</t>
  </si>
  <si>
    <t>Z42275</t>
  </si>
  <si>
    <t>Z42276</t>
  </si>
  <si>
    <t>Z42277</t>
  </si>
  <si>
    <t>rs1041652979</t>
  </si>
  <si>
    <t>Z42278</t>
  </si>
  <si>
    <t>Z42279</t>
  </si>
  <si>
    <t>Z42280</t>
  </si>
  <si>
    <t>rs3907</t>
  </si>
  <si>
    <t>rs2032641</t>
  </si>
  <si>
    <t>SK1881</t>
  </si>
  <si>
    <t>Z42285</t>
  </si>
  <si>
    <t>Z42286</t>
  </si>
  <si>
    <t>Z42287</t>
  </si>
  <si>
    <t>SK1880</t>
  </si>
  <si>
    <t>Z42281</t>
  </si>
  <si>
    <t>Z42282</t>
  </si>
  <si>
    <t>Z42283</t>
  </si>
  <si>
    <t>Z42284</t>
  </si>
  <si>
    <t>Z33330</t>
  </si>
  <si>
    <t>rs896050429</t>
  </si>
  <si>
    <t>Z33345</t>
  </si>
  <si>
    <t>Z42288</t>
  </si>
  <si>
    <t>P51</t>
  </si>
  <si>
    <t>rs376386703</t>
  </si>
  <si>
    <t>SK1872</t>
  </si>
  <si>
    <t>Z42289</t>
  </si>
  <si>
    <t>Z42290</t>
  </si>
  <si>
    <t>Z42291</t>
  </si>
  <si>
    <t>Z42292</t>
  </si>
  <si>
    <t>B256</t>
  </si>
  <si>
    <t>SK1882</t>
  </si>
  <si>
    <t>Z31135</t>
  </si>
  <si>
    <t>Z33309</t>
  </si>
  <si>
    <t>Z33313</t>
  </si>
  <si>
    <t>Z33318</t>
  </si>
  <si>
    <t>Z33319</t>
  </si>
  <si>
    <t>Z33323</t>
  </si>
  <si>
    <t>Z33325</t>
  </si>
  <si>
    <t>Z33331</t>
  </si>
  <si>
    <t>Z33336</t>
  </si>
  <si>
    <t>Z33343</t>
  </si>
  <si>
    <t>Z33347</t>
  </si>
  <si>
    <t>Z33348</t>
  </si>
  <si>
    <t>Z33350</t>
  </si>
  <si>
    <t>Z33310</t>
  </si>
  <si>
    <t>Z33311</t>
  </si>
  <si>
    <t>Z33317</t>
  </si>
  <si>
    <t>Z33320</t>
  </si>
  <si>
    <t>Z33321</t>
  </si>
  <si>
    <t>Z33324</t>
  </si>
  <si>
    <t>Z33326</t>
  </si>
  <si>
    <t>Z33327</t>
  </si>
  <si>
    <t>Z33332</t>
  </si>
  <si>
    <t>Z33337</t>
  </si>
  <si>
    <t>Z33341</t>
  </si>
  <si>
    <t>Z33351</t>
  </si>
  <si>
    <t>Z33322</t>
  </si>
  <si>
    <t>Z33328</t>
  </si>
  <si>
    <t>Z33114</t>
  </si>
  <si>
    <t>Z33315</t>
  </si>
  <si>
    <t>Z33316</t>
  </si>
  <si>
    <t>Z33329</t>
  </si>
  <si>
    <t>Z33333</t>
  </si>
  <si>
    <t>Z33339</t>
  </si>
  <si>
    <t>rs953852329</t>
  </si>
  <si>
    <t>Z33340</t>
  </si>
  <si>
    <t>Z33342</t>
  </si>
  <si>
    <t>SK1889</t>
  </si>
  <si>
    <t>Z42293</t>
  </si>
  <si>
    <t>Z42294</t>
  </si>
  <si>
    <t>Z42295</t>
  </si>
  <si>
    <t>Z42296</t>
  </si>
  <si>
    <t>Z42298</t>
  </si>
  <si>
    <t>Z42299</t>
  </si>
  <si>
    <t>Z42300</t>
  </si>
  <si>
    <t>Z42301</t>
  </si>
  <si>
    <t>Z42302</t>
  </si>
  <si>
    <t>Z42303</t>
  </si>
  <si>
    <t>Z42304</t>
  </si>
  <si>
    <t>Z42305</t>
  </si>
  <si>
    <t>Z42306</t>
  </si>
  <si>
    <t>Z42307</t>
  </si>
  <si>
    <t>Z42308</t>
  </si>
  <si>
    <t>Z42309</t>
  </si>
  <si>
    <t>Z42310</t>
  </si>
  <si>
    <t>Z42311</t>
  </si>
  <si>
    <t>Z42312</t>
  </si>
  <si>
    <t>Z42313</t>
  </si>
  <si>
    <t>Z42314</t>
  </si>
  <si>
    <t>Z42315</t>
  </si>
  <si>
    <t>Z42316</t>
  </si>
  <si>
    <t>Z42317</t>
  </si>
  <si>
    <t>Z42318</t>
  </si>
  <si>
    <t>Z42319</t>
  </si>
  <si>
    <t>Z42320</t>
  </si>
  <si>
    <t>Z42321</t>
  </si>
  <si>
    <t>Z42322</t>
  </si>
  <si>
    <t>Z42326</t>
  </si>
  <si>
    <t>Y26302</t>
  </si>
  <si>
    <t>Z42323</t>
  </si>
  <si>
    <t>Z42324</t>
  </si>
  <si>
    <t>Z42325</t>
  </si>
  <si>
    <t>Z42327</t>
  </si>
  <si>
    <t>BY3630.2</t>
  </si>
  <si>
    <t>rs1016979501</t>
  </si>
  <si>
    <t>F1295.2</t>
  </si>
  <si>
    <t>Z42328</t>
  </si>
  <si>
    <t>Z42329</t>
  </si>
  <si>
    <t>Z42330</t>
  </si>
  <si>
    <t>Z31204.2</t>
  </si>
  <si>
    <t>Z33269</t>
  </si>
  <si>
    <t>Z33270</t>
  </si>
  <si>
    <t>Z33271</t>
  </si>
  <si>
    <t>Z33272</t>
  </si>
  <si>
    <t>Z33273</t>
  </si>
  <si>
    <t>rs918535566</t>
  </si>
  <si>
    <t>Z33274</t>
  </si>
  <si>
    <t>Z33276</t>
  </si>
  <si>
    <t>Z33277</t>
  </si>
  <si>
    <t>Z33278</t>
  </si>
  <si>
    <t>Z33279</t>
  </si>
  <si>
    <t>Z33280</t>
  </si>
  <si>
    <t>Z33281</t>
  </si>
  <si>
    <t>Z33282</t>
  </si>
  <si>
    <t>Z33283</t>
  </si>
  <si>
    <t>Z33284</t>
  </si>
  <si>
    <t>Z33285</t>
  </si>
  <si>
    <t>Z33286</t>
  </si>
  <si>
    <t>Z33288</t>
  </si>
  <si>
    <t>Z33289</t>
  </si>
  <si>
    <t>Z33290</t>
  </si>
  <si>
    <t>Z33291</t>
  </si>
  <si>
    <t>Z33292</t>
  </si>
  <si>
    <t>Z33293</t>
  </si>
  <si>
    <t>Z33295</t>
  </si>
  <si>
    <t>Z33296</t>
  </si>
  <si>
    <t>Z33297</t>
  </si>
  <si>
    <t>Z33298</t>
  </si>
  <si>
    <t>Z33299</t>
  </si>
  <si>
    <t>Z33300</t>
  </si>
  <si>
    <t>B271</t>
  </si>
  <si>
    <t>Z33302</t>
  </si>
  <si>
    <t>Z33305</t>
  </si>
  <si>
    <t>Z33307</t>
  </si>
  <si>
    <t>Z33308</t>
  </si>
  <si>
    <t>B270</t>
  </si>
  <si>
    <t>Z38339</t>
  </si>
  <si>
    <t>Z38340</t>
  </si>
  <si>
    <t>rs777121309</t>
  </si>
  <si>
    <t>Z38341</t>
  </si>
  <si>
    <t>Z33740</t>
  </si>
  <si>
    <t>Z33741</t>
  </si>
  <si>
    <t>Z33742</t>
  </si>
  <si>
    <t>Z33743</t>
  </si>
  <si>
    <t>Z43837</t>
  </si>
  <si>
    <t>Y26293</t>
  </si>
  <si>
    <t>Z43838</t>
  </si>
  <si>
    <t>M10781</t>
  </si>
  <si>
    <t>S20812; ZS4770</t>
  </si>
  <si>
    <t>rs200810549</t>
  </si>
  <si>
    <t>S20812</t>
  </si>
  <si>
    <t>M10781; ZS4770</t>
  </si>
  <si>
    <t>ZS4770</t>
  </si>
  <si>
    <t>M10781; S20812</t>
  </si>
  <si>
    <t>Z42538</t>
  </si>
  <si>
    <t>Z42539</t>
  </si>
  <si>
    <t>Z42540</t>
  </si>
  <si>
    <t>Z42541</t>
  </si>
  <si>
    <t>Z42542</t>
  </si>
  <si>
    <t>Z43832</t>
  </si>
  <si>
    <t>Z43833</t>
  </si>
  <si>
    <t>Z43834</t>
  </si>
  <si>
    <t>Z43835</t>
  </si>
  <si>
    <t>Z43836</t>
  </si>
  <si>
    <t>Z43412</t>
  </si>
  <si>
    <t>Z43413</t>
  </si>
  <si>
    <t>Z43414</t>
  </si>
  <si>
    <t>Z43415</t>
  </si>
  <si>
    <t>M353</t>
  </si>
  <si>
    <t>rs796470087</t>
  </si>
  <si>
    <t>M387</t>
  </si>
  <si>
    <t>rs868120210</t>
  </si>
  <si>
    <t>M177^^</t>
  </si>
  <si>
    <t>SRY9138^^</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</si>
</sst>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font>
    <font>
      <name val="Arial"/>
    </font>
    <font>
      <b/>
      <sz val="24.0"/>
      <color rgb="FF000000"/>
      <name val="Times New Roman"/>
    </font>
    <font>
      <b/>
      <i/>
      <color rgb="FFE06666"/>
      <name val="Arial"/>
    </font>
    <font>
      <i/>
      <color rgb="FFCC0000"/>
      <name val="Arial"/>
    </font>
    <font/>
    <font>
      <u/>
      <sz val="12.0"/>
      <color rgb="FF0066CC"/>
      <name val="Times New Roman"/>
    </font>
    <font>
      <u/>
      <sz val="12.0"/>
      <color rgb="FF0066CC"/>
      <name val="Times New Roman"/>
    </font>
    <font>
      <sz val="12.0"/>
      <color rgb="FF000000"/>
      <name val="Times New Roman"/>
    </font>
    <font>
      <sz val="12.0"/>
      <name val="Times New Roman"/>
    </font>
    <font>
      <u/>
      <sz val="12.0"/>
      <color rgb="FF0066CC"/>
      <name val="Times New Roman"/>
    </font>
    <font>
      <b/>
      <sz val="12.0"/>
      <name val="Times New Roman"/>
    </font>
    <font>
      <u/>
      <sz val="12.0"/>
      <color rgb="FF0066CC"/>
      <name val="Times New Roman"/>
    </font>
    <font>
      <u/>
      <sz val="12.0"/>
      <color rgb="FF0066CC"/>
      <name val="Times New Roman"/>
    </font>
    <font>
      <u/>
      <sz val="12.0"/>
      <color rgb="FF0066CC"/>
      <name val="Times New Roman"/>
    </font>
    <font>
      <b/>
      <sz val="12.0"/>
      <color rgb="FF000000"/>
      <name val="Times New Roman"/>
    </font>
    <font>
      <sz val="12.0"/>
      <color rgb="FFCC0000"/>
      <name val="Times New Roman"/>
    </font>
    <font>
      <sz val="12.0"/>
      <color rgb="FF999999"/>
      <name val="Times New Roman"/>
    </font>
    <font>
      <sz val="10.0"/>
      <color rgb="FFFFFFFF"/>
      <name val="Arial"/>
    </font>
    <font>
      <b/>
    </font>
    <font>
      <sz val="10.0"/>
      <color rgb="FF999999"/>
      <name val="Arial"/>
    </font>
    <font>
      <i/>
      <sz val="10.0"/>
      <color rgb="FFB45F06"/>
      <name val="Arial"/>
    </font>
    <font>
      <b/>
      <i/>
    </font>
    <font>
      <sz val="10.0"/>
      <name val="Arial"/>
    </font>
    <font>
      <color rgb="FF999999"/>
    </font>
    <font>
      <b/>
      <i/>
      <sz val="10.0"/>
      <name val="Arial"/>
    </font>
    <font>
      <b/>
      <i/>
      <name val="Arial"/>
    </font>
    <font>
      <i/>
      <name val="Arial"/>
    </font>
    <font>
      <color rgb="FF000000"/>
      <name val="Arial"/>
    </font>
    <font>
      <b/>
      <sz val="10.0"/>
      <color rgb="FF000000"/>
      <name val="Arial"/>
    </font>
    <font>
      <u/>
      <sz val="12.0"/>
      <color rgb="FF1C4587"/>
      <name val="Times New Roman"/>
    </font>
    <font>
      <color rgb="FF1C4587"/>
    </font>
    <font>
      <u/>
      <sz val="12.0"/>
      <color rgb="FF1C4587"/>
      <name val="Times New Roman"/>
    </font>
    <font>
      <u/>
      <sz val="12.0"/>
      <color rgb="FF0066CC"/>
      <name val="Times New Roman"/>
    </font>
    <font>
      <u/>
      <sz val="12.0"/>
      <color rgb="FF1155CC"/>
      <name val="Times New Roman"/>
    </font>
    <font>
      <b/>
      <sz val="14.0"/>
      <name val="Arial"/>
    </font>
    <font>
      <sz val="14.0"/>
      <name val="Arial"/>
    </font>
    <font>
      <color rgb="FFCC0000"/>
      <name val="Arial"/>
    </font>
    <font>
      <b/>
      <name val="Arial"/>
    </font>
    <font>
      <sz val="11.0"/>
      <color rgb="FF000000"/>
      <name val="Calibri"/>
    </font>
    <font>
      <sz val="11.0"/>
      <name val="Calibri"/>
    </font>
  </fonts>
  <fills count="9">
    <fill>
      <patternFill patternType="none"/>
    </fill>
    <fill>
      <patternFill patternType="lightGray"/>
    </fill>
    <fill>
      <patternFill patternType="solid">
        <fgColor rgb="FFE6B8AF"/>
        <bgColor rgb="FFE6B8AF"/>
      </patternFill>
    </fill>
    <fill>
      <patternFill patternType="solid">
        <fgColor rgb="FFFFFFFF"/>
        <bgColor rgb="FFFFFFF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2CC"/>
        <bgColor rgb="FFFFF2CC"/>
      </patternFill>
    </fill>
    <fill>
      <patternFill patternType="solid">
        <fgColor rgb="FFC9DAF8"/>
        <bgColor rgb="FFC9DAF8"/>
      </patternFill>
    </fill>
  </fills>
  <borders count="6">
    <border/>
    <border>
      <right/>
    </border>
    <border>
      <left style="thin">
        <color rgb="FFCC0000"/>
      </left>
      <top style="thin">
        <color rgb="FFCC0000"/>
      </top>
      <bottom style="thin">
        <color rgb="FFCC0000"/>
      </bottom>
    </border>
    <border>
      <top style="thin">
        <color rgb="FFCC0000"/>
      </top>
      <bottom style="thin">
        <color rgb="FFCC0000"/>
      </bottom>
    </border>
    <border>
      <right style="thin">
        <color rgb="FFCC0000"/>
      </right>
      <top style="thin">
        <color rgb="FFCC0000"/>
      </top>
      <bottom style="thin">
        <color rgb="FFCC0000"/>
      </bottom>
    </border>
    <border>
      <bottom style="thin">
        <color rgb="FFD9D9D9"/>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0" fontId="1" numFmtId="0" xfId="0" applyAlignment="1" applyFont="1">
      <alignment vertical="bottom"/>
    </xf>
    <xf borderId="1" fillId="2" fontId="1" numFmtId="0" xfId="0" applyAlignment="1" applyBorder="1" applyFill="1" applyFont="1">
      <alignment vertical="bottom"/>
    </xf>
    <xf borderId="1" fillId="2" fontId="2" numFmtId="0" xfId="0" applyAlignment="1" applyBorder="1" applyFont="1">
      <alignment horizontal="center" readingOrder="0" shrinkToFit="0" vertical="bottom" wrapText="0"/>
    </xf>
    <xf borderId="0" fillId="2" fontId="1" numFmtId="0" xfId="0" applyAlignment="1" applyFont="1">
      <alignment vertical="bottom"/>
    </xf>
    <xf borderId="0" fillId="3" fontId="3" numFmtId="0" xfId="0" applyAlignment="1" applyFill="1" applyFont="1">
      <alignment readingOrder="0" shrinkToFit="0" vertical="bottom" wrapText="0"/>
    </xf>
    <xf borderId="0" fillId="3" fontId="1" numFmtId="0" xfId="0" applyAlignment="1" applyFont="1">
      <alignment vertical="bottom"/>
    </xf>
    <xf borderId="2" fillId="3" fontId="4" numFmtId="0" xfId="0" applyAlignment="1" applyBorder="1" applyFont="1">
      <alignment horizontal="center" readingOrder="0" vertical="bottom"/>
    </xf>
    <xf borderId="3" fillId="0" fontId="5" numFmtId="0" xfId="0" applyBorder="1" applyFont="1"/>
    <xf borderId="4" fillId="0" fontId="5" numFmtId="0" xfId="0" applyBorder="1" applyFont="1"/>
    <xf borderId="0" fillId="0" fontId="1" numFmtId="0" xfId="0" applyAlignment="1" applyFont="1">
      <alignment readingOrder="0" vertical="bottom"/>
    </xf>
    <xf borderId="0" fillId="0" fontId="6" numFmtId="0" xfId="0" applyAlignment="1" applyFont="1">
      <alignment horizontal="left" readingOrder="0"/>
    </xf>
    <xf borderId="0" fillId="0" fontId="1" numFmtId="0" xfId="0" applyAlignment="1" applyFont="1">
      <alignment readingOrder="0" shrinkToFit="0" vertical="bottom" wrapText="0"/>
    </xf>
    <xf borderId="1" fillId="0" fontId="1" numFmtId="0" xfId="0" applyAlignment="1" applyBorder="1" applyFont="1">
      <alignment readingOrder="0" shrinkToFit="0" vertical="bottom" wrapText="0"/>
    </xf>
    <xf borderId="1" fillId="0" fontId="1" numFmtId="0" xfId="0" applyAlignment="1" applyBorder="1" applyFont="1">
      <alignment vertical="bottom"/>
    </xf>
    <xf borderId="0" fillId="0" fontId="5" numFmtId="0" xfId="0" applyAlignment="1" applyFont="1">
      <alignment readingOrder="0"/>
    </xf>
    <xf borderId="1" fillId="0" fontId="7" numFmtId="0" xfId="0" applyAlignment="1" applyBorder="1" applyFont="1">
      <alignment horizontal="center" shrinkToFit="0" vertical="bottom" wrapText="0"/>
    </xf>
    <xf borderId="1" fillId="0" fontId="8" numFmtId="0" xfId="0" applyAlignment="1" applyBorder="1" applyFont="1">
      <alignment horizontal="center" readingOrder="0" shrinkToFit="0" vertical="bottom" wrapText="0"/>
    </xf>
    <xf borderId="0" fillId="4" fontId="9" numFmtId="0" xfId="0" applyAlignment="1" applyFill="1" applyFont="1">
      <alignment readingOrder="0" vertical="bottom"/>
    </xf>
    <xf borderId="1" fillId="4" fontId="8" numFmtId="0" xfId="0" applyAlignment="1" applyBorder="1" applyFont="1">
      <alignment shrinkToFit="0" vertical="bottom" wrapText="0"/>
    </xf>
    <xf borderId="1" fillId="4" fontId="1" numFmtId="0" xfId="0" applyAlignment="1" applyBorder="1" applyFont="1">
      <alignment vertical="bottom"/>
    </xf>
    <xf borderId="1" fillId="0" fontId="10" numFmtId="0" xfId="0" applyAlignment="1" applyBorder="1" applyFont="1">
      <alignment shrinkToFit="0" vertical="bottom" wrapText="0"/>
    </xf>
    <xf borderId="0" fillId="0" fontId="1" numFmtId="0" xfId="0" applyAlignment="1" applyFont="1">
      <alignment vertical="bottom"/>
    </xf>
    <xf borderId="0" fillId="0" fontId="11" numFmtId="0" xfId="0" applyAlignment="1" applyFont="1">
      <alignment vertical="bottom"/>
    </xf>
    <xf borderId="0" fillId="0" fontId="12" numFmtId="0" xfId="0" applyAlignment="1" applyFont="1">
      <alignment vertical="bottom"/>
    </xf>
    <xf borderId="1" fillId="0" fontId="13" numFmtId="0" xfId="0" applyAlignment="1" applyBorder="1" applyFont="1">
      <alignment horizontal="center" shrinkToFit="0" vertical="bottom" wrapText="0"/>
    </xf>
    <xf borderId="0" fillId="0" fontId="14" numFmtId="0" xfId="0" applyAlignment="1" applyFont="1">
      <alignment vertical="bottom"/>
    </xf>
    <xf borderId="1" fillId="0" fontId="15" numFmtId="0" xfId="0" applyAlignment="1" applyBorder="1" applyFont="1">
      <alignment shrinkToFit="0" vertical="bottom" wrapText="0"/>
    </xf>
    <xf borderId="1" fillId="0" fontId="16" numFmtId="0" xfId="0" applyAlignment="1" applyBorder="1" applyFont="1">
      <alignment horizontal="right" readingOrder="0" shrinkToFit="0" vertical="bottom" wrapText="0"/>
    </xf>
    <xf borderId="1" fillId="0" fontId="8" numFmtId="0" xfId="0" applyAlignment="1" applyBorder="1" applyFont="1">
      <alignment horizontal="right" readingOrder="0" shrinkToFit="0" vertical="bottom" wrapText="0"/>
    </xf>
    <xf borderId="1" fillId="0" fontId="17" numFmtId="0" xfId="0" applyAlignment="1" applyBorder="1" applyFont="1">
      <alignment horizontal="center" shrinkToFit="0" vertical="bottom" wrapText="0"/>
    </xf>
    <xf borderId="1" fillId="0" fontId="1" numFmtId="0" xfId="0" applyAlignment="1" applyBorder="1" applyFont="1">
      <alignment shrinkToFit="0" vertical="bottom" wrapText="0"/>
    </xf>
    <xf borderId="0" fillId="4" fontId="1" numFmtId="0" xfId="0" applyAlignment="1" applyFont="1">
      <alignment readingOrder="0" shrinkToFit="0" vertical="bottom" wrapText="1"/>
    </xf>
    <xf borderId="5" fillId="4" fontId="9" numFmtId="0" xfId="0" applyAlignment="1" applyBorder="1" applyFont="1">
      <alignment readingOrder="0" shrinkToFit="0" vertical="bottom" wrapText="1"/>
    </xf>
    <xf borderId="5" fillId="0" fontId="5" numFmtId="0" xfId="0" applyBorder="1" applyFont="1"/>
    <xf borderId="5" fillId="0" fontId="1" numFmtId="0" xfId="0" applyAlignment="1" applyBorder="1" applyFont="1">
      <alignment vertical="bottom"/>
    </xf>
    <xf borderId="0" fillId="4" fontId="9" numFmtId="0" xfId="0" applyAlignment="1" applyFont="1">
      <alignment readingOrder="0" shrinkToFit="0" vertical="bottom" wrapText="1"/>
    </xf>
    <xf borderId="0" fillId="5" fontId="18" numFmtId="0" xfId="0" applyAlignment="1" applyFill="1" applyFont="1">
      <alignment readingOrder="0"/>
    </xf>
    <xf borderId="0" fillId="0" fontId="19" numFmtId="0" xfId="0" applyAlignment="1" applyFont="1">
      <alignment horizontal="left" readingOrder="0"/>
    </xf>
    <xf borderId="0" fillId="5" fontId="18" numFmtId="0" xfId="0" applyAlignment="1" applyFont="1">
      <alignment readingOrder="0" vertical="center"/>
    </xf>
    <xf borderId="0" fillId="0" fontId="19" numFmtId="0" xfId="0" applyAlignment="1" applyFont="1">
      <alignment horizontal="left" readingOrder="0" shrinkToFit="0" wrapText="1"/>
    </xf>
    <xf borderId="0" fillId="6" fontId="18" numFmtId="0" xfId="0" applyAlignment="1" applyFill="1" applyFont="1">
      <alignment horizontal="left" readingOrder="0" vertical="center"/>
    </xf>
    <xf borderId="0" fillId="0" fontId="20" numFmtId="0" xfId="0" applyAlignment="1" applyFont="1">
      <alignment horizontal="left" readingOrder="0" shrinkToFit="0" wrapText="1"/>
    </xf>
    <xf borderId="0" fillId="0" fontId="21" numFmtId="0" xfId="0" applyAlignment="1" applyFont="1">
      <alignment horizontal="left" readingOrder="0" shrinkToFit="0" wrapText="0"/>
    </xf>
    <xf borderId="0" fillId="0" fontId="20" numFmtId="0" xfId="0" applyAlignment="1" applyFont="1">
      <alignment horizontal="left" readingOrder="0" shrinkToFit="0" wrapText="0"/>
    </xf>
    <xf borderId="0" fillId="0" fontId="22" numFmtId="0" xfId="0" applyAlignment="1" applyFont="1">
      <alignment readingOrder="0"/>
    </xf>
    <xf borderId="0" fillId="0" fontId="22" numFmtId="0" xfId="0" applyAlignment="1" applyFont="1">
      <alignment readingOrder="0" shrinkToFit="0" wrapText="1"/>
    </xf>
    <xf borderId="0" fillId="0" fontId="23" numFmtId="0" xfId="0" applyFont="1"/>
    <xf borderId="0" fillId="6" fontId="18" numFmtId="0" xfId="0" applyAlignment="1" applyFont="1">
      <alignment horizontal="left" readingOrder="0"/>
    </xf>
    <xf borderId="0" fillId="0" fontId="24" numFmtId="0" xfId="0" applyAlignment="1" applyFont="1">
      <alignment horizontal="left" readingOrder="0"/>
    </xf>
    <xf borderId="0" fillId="0" fontId="19" numFmtId="0" xfId="0" applyAlignment="1" applyFont="1">
      <alignment readingOrder="0"/>
    </xf>
    <xf borderId="0" fillId="0" fontId="19" numFmtId="0" xfId="0" applyFont="1"/>
    <xf borderId="0" fillId="0" fontId="24" numFmtId="0" xfId="0" applyAlignment="1" applyFont="1">
      <alignment readingOrder="0"/>
    </xf>
    <xf borderId="0" fillId="0" fontId="20" numFmtId="0" xfId="0" applyAlignment="1" applyFont="1">
      <alignment horizontal="left" readingOrder="0"/>
    </xf>
    <xf borderId="0" fillId="0" fontId="25" numFmtId="0" xfId="0" applyAlignment="1" applyFont="1">
      <alignment horizontal="left" readingOrder="0"/>
    </xf>
    <xf borderId="0" fillId="0" fontId="15" numFmtId="0" xfId="0" applyAlignment="1" applyFont="1">
      <alignment horizontal="left" readingOrder="0"/>
    </xf>
    <xf borderId="0" fillId="0" fontId="26" numFmtId="0" xfId="0" applyAlignment="1" applyFont="1">
      <alignment horizontal="left" readingOrder="0"/>
    </xf>
    <xf borderId="0" fillId="0" fontId="27" numFmtId="0" xfId="0" applyAlignment="1" applyFont="1">
      <alignment readingOrder="0"/>
    </xf>
    <xf borderId="0" fillId="0" fontId="25" numFmtId="0" xfId="0" applyAlignment="1" applyFont="1">
      <alignment horizontal="left" readingOrder="0" shrinkToFit="0" wrapText="1"/>
    </xf>
    <xf borderId="0" fillId="0" fontId="22" numFmtId="0" xfId="0" applyAlignment="1" applyFont="1">
      <alignment horizontal="left" readingOrder="0" shrinkToFit="0" wrapText="1"/>
    </xf>
    <xf borderId="0" fillId="0" fontId="22" numFmtId="0" xfId="0" applyAlignment="1" applyFont="1">
      <alignment horizontal="left" readingOrder="0"/>
    </xf>
    <xf borderId="0" fillId="7" fontId="15" numFmtId="0" xfId="0" applyAlignment="1" applyFill="1" applyFont="1">
      <alignment horizontal="left" readingOrder="0"/>
    </xf>
    <xf borderId="0" fillId="7" fontId="5" numFmtId="0" xfId="0" applyFont="1"/>
    <xf borderId="0" fillId="0" fontId="0" numFmtId="0" xfId="0" applyAlignment="1" applyFont="1">
      <alignment horizontal="left" readingOrder="0"/>
    </xf>
    <xf borderId="0" fillId="3" fontId="28" numFmtId="0" xfId="0" applyAlignment="1" applyFont="1">
      <alignment readingOrder="0"/>
    </xf>
    <xf borderId="0" fillId="0" fontId="29" numFmtId="0" xfId="0" applyAlignment="1" applyFont="1">
      <alignment horizontal="left" readingOrder="0"/>
    </xf>
    <xf borderId="0" fillId="0" fontId="5" numFmtId="0" xfId="0" applyFont="1"/>
    <xf borderId="0" fillId="0" fontId="30" numFmtId="0" xfId="0" applyAlignment="1" applyFont="1">
      <alignment horizontal="left" readingOrder="0"/>
    </xf>
    <xf borderId="0" fillId="0" fontId="31" numFmtId="0" xfId="0" applyFont="1"/>
    <xf borderId="0" fillId="0" fontId="32" numFmtId="0" xfId="0" applyAlignment="1" applyFont="1">
      <alignment horizontal="left" readingOrder="0"/>
    </xf>
    <xf borderId="0" fillId="0" fontId="8" numFmtId="0" xfId="0" applyAlignment="1" applyFont="1">
      <alignment horizontal="left" readingOrder="0"/>
    </xf>
    <xf borderId="0" fillId="3" fontId="0" numFmtId="0" xfId="0" applyAlignment="1" applyFont="1">
      <alignment readingOrder="0"/>
    </xf>
    <xf borderId="0" fillId="0" fontId="8" numFmtId="0" xfId="0" applyAlignment="1" applyFont="1">
      <alignment vertical="bottom"/>
    </xf>
    <xf borderId="1" fillId="0" fontId="33" numFmtId="0" xfId="0" applyAlignment="1" applyBorder="1" applyFont="1">
      <alignment shrinkToFit="0" vertical="bottom" wrapText="0"/>
    </xf>
    <xf borderId="1" fillId="0" fontId="34" numFmtId="0" xfId="0" applyAlignment="1" applyBorder="1" applyFont="1">
      <alignment shrinkToFit="0" vertical="bottom" wrapText="0"/>
    </xf>
    <xf borderId="1" fillId="0" fontId="8" numFmtId="0" xfId="0" applyAlignment="1" applyBorder="1" applyFont="1">
      <alignment readingOrder="0" shrinkToFit="0" vertical="bottom" wrapText="0"/>
    </xf>
    <xf borderId="1" fillId="7" fontId="35" numFmtId="0" xfId="0" applyAlignment="1" applyBorder="1" applyFont="1">
      <alignment readingOrder="0" shrinkToFit="0" vertical="bottom" wrapText="0"/>
    </xf>
    <xf borderId="1" fillId="7" fontId="36" numFmtId="0" xfId="0" applyAlignment="1" applyBorder="1" applyFont="1">
      <alignment vertical="bottom"/>
    </xf>
    <xf borderId="0" fillId="7" fontId="1" numFmtId="0" xfId="0" applyAlignment="1" applyFont="1">
      <alignment vertical="bottom"/>
    </xf>
    <xf borderId="1" fillId="0" fontId="37" numFmtId="0" xfId="0" applyAlignment="1" applyBorder="1" applyFont="1">
      <alignment shrinkToFit="0" vertical="bottom" wrapText="0"/>
    </xf>
    <xf borderId="0" fillId="8" fontId="1" numFmtId="0" xfId="0" applyAlignment="1" applyFill="1" applyFont="1">
      <alignment vertical="bottom"/>
    </xf>
    <xf borderId="0" fillId="8" fontId="38" numFmtId="0" xfId="0" applyAlignment="1" applyFont="1">
      <alignment vertical="bottom"/>
    </xf>
    <xf borderId="0" fillId="8" fontId="38" numFmtId="0" xfId="0" applyAlignment="1" applyFont="1">
      <alignment horizontal="center" vertical="bottom"/>
    </xf>
    <xf borderId="0" fillId="8" fontId="1" numFmtId="0" xfId="0" applyAlignment="1" applyFont="1">
      <alignment vertical="bottom"/>
    </xf>
    <xf borderId="0" fillId="0" fontId="39" numFmtId="0" xfId="0" applyAlignment="1" applyFont="1">
      <alignment horizontal="right" vertical="bottom"/>
    </xf>
    <xf borderId="0" fillId="0" fontId="39" numFmtId="0" xfId="0" applyAlignment="1" applyFont="1">
      <alignment vertical="bottom"/>
    </xf>
    <xf borderId="0" fillId="3" fontId="1" numFmtId="0" xfId="0" applyAlignment="1" applyFont="1">
      <alignment readingOrder="0" vertical="bottom"/>
    </xf>
    <xf borderId="0" fillId="0" fontId="0" numFmtId="0" xfId="0" applyAlignment="1" applyFont="1">
      <alignment vertical="bottom"/>
    </xf>
    <xf borderId="0" fillId="0" fontId="0" numFmtId="0" xfId="0" applyAlignment="1" applyFont="1">
      <alignment horizontal="left" readingOrder="0" vertical="bottom"/>
    </xf>
    <xf borderId="0" fillId="0" fontId="0" numFmtId="0" xfId="0" applyAlignment="1" applyFont="1">
      <alignment readingOrder="0" vertical="bottom"/>
    </xf>
    <xf borderId="0" fillId="0" fontId="40" numFmtId="0" xfId="0" applyAlignment="1" applyFont="1">
      <alignment horizontal="right" vertical="bottom"/>
    </xf>
    <xf borderId="0" fillId="0" fontId="40" numFmtId="0" xfId="0" applyAlignment="1" applyFont="1">
      <alignment vertical="bottom"/>
    </xf>
    <xf borderId="0" fillId="0" fontId="28" numFmtId="0" xfId="0" applyAlignment="1" applyFont="1">
      <alignment vertical="bottom"/>
    </xf>
    <xf borderId="0" fillId="3" fontId="39" numFmtId="0" xfId="0" applyAlignment="1" applyFont="1">
      <alignment horizontal="right" vertical="bottom"/>
    </xf>
    <xf borderId="0" fillId="0" fontId="39" numFmtId="0" xfId="0" applyAlignment="1" applyFont="1">
      <alignment horizontal="right" readingOrder="0" shrinkToFit="0" vertical="bottom" wrapText="0"/>
    </xf>
    <xf borderId="0" fillId="3" fontId="40" numFmtId="0" xfId="0" applyAlignment="1" applyFont="1">
      <alignment readingOrder="0" vertical="bottom"/>
    </xf>
    <xf borderId="0" fillId="0" fontId="39" numFmtId="0" xfId="0" applyAlignment="1" applyFont="1">
      <alignment readingOrder="0" vertical="bottom"/>
    </xf>
    <xf borderId="0" fillId="0" fontId="40" numFmtId="0" xfId="0" applyAlignment="1" applyFont="1">
      <alignment readingOrder="0"/>
    </xf>
    <xf borderId="0" fillId="0" fontId="39" numFmtId="0" xfId="0" applyAlignment="1" applyFont="1">
      <alignment horizontal="right" readingOrder="0"/>
    </xf>
    <xf borderId="0" fillId="0" fontId="39"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428625</xdr:colOff>
      <xdr:row>118</xdr:row>
      <xdr:rowOff>161925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www.isogg.org/wiki/Wiki_Welcome_Page" TargetMode="External"/><Relationship Id="rId11" Type="http://schemas.openxmlformats.org/officeDocument/2006/relationships/hyperlink" Target="http://genome.cshlp.org/content/early/2015/03/13/gr.186684.114.abstract" TargetMode="External"/><Relationship Id="rId10" Type="http://schemas.openxmlformats.org/officeDocument/2006/relationships/hyperlink" Target="http://www.genetics.org/cgi/reprint/160/1/289" TargetMode="External"/><Relationship Id="rId21" Type="http://schemas.openxmlformats.org/officeDocument/2006/relationships/drawing" Target="../drawings/drawing1.xml"/><Relationship Id="rId13" Type="http://schemas.openxmlformats.org/officeDocument/2006/relationships/hyperlink" Target="http://hpgl.stanford.edu/publications/AJHG_2001_v68_p173-190.pdf" TargetMode="External"/><Relationship Id="rId12" Type="http://schemas.openxmlformats.org/officeDocument/2006/relationships/hyperlink" Target="http://mbe.oxfordjournals.org/content/25/7/1362.full.pdf" TargetMode="External"/><Relationship Id="rId1" Type="http://schemas.openxmlformats.org/officeDocument/2006/relationships/hyperlink" Target="http://www.isogg.org/tree/ISOGG_YDNA_Version_History.html" TargetMode="External"/><Relationship Id="rId2" Type="http://schemas.openxmlformats.org/officeDocument/2006/relationships/hyperlink" Target="http://www.isogg.org/tree/ISOGG_Glossary.html" TargetMode="External"/><Relationship Id="rId3" Type="http://schemas.openxmlformats.org/officeDocument/2006/relationships/hyperlink" Target="http://www.isogg.org/tree/index.html" TargetMode="External"/><Relationship Id="rId4" Type="http://schemas.openxmlformats.org/officeDocument/2006/relationships/hyperlink" Target="http://www.isogg.org/tree/ISOGG_YDNA_SNP_Index.html" TargetMode="External"/><Relationship Id="rId9" Type="http://schemas.openxmlformats.org/officeDocument/2006/relationships/hyperlink" Target="http://www.cell.com/AJHG/abstract/S0002-9297%2807%2961625-5" TargetMode="External"/><Relationship Id="rId15" Type="http://schemas.openxmlformats.org/officeDocument/2006/relationships/hyperlink" Target="http://www.familytreedna.com/pdf/Kay_CurrBiol_2000.pdf" TargetMode="External"/><Relationship Id="rId14" Type="http://schemas.openxmlformats.org/officeDocument/2006/relationships/hyperlink" Target="http://mbe.oxfordjournals.org/cgi/content/full/23/11/2234" TargetMode="External"/><Relationship Id="rId17" Type="http://schemas.openxmlformats.org/officeDocument/2006/relationships/hyperlink" Target="http://mbe.oxfordjournals.org/cgi/content/abstract/msm187v1" TargetMode="External"/><Relationship Id="rId16" Type="http://schemas.openxmlformats.org/officeDocument/2006/relationships/hyperlink" Target="http://hpgl.stanford.edu/publications/AJHG_2003_v72_p281-302.pdf" TargetMode="External"/><Relationship Id="rId5" Type="http://schemas.openxmlformats.org/officeDocument/2006/relationships/hyperlink" Target="http://www.isogg.org/tree/ISOGG_All_Papers.html" TargetMode="External"/><Relationship Id="rId19" Type="http://schemas.openxmlformats.org/officeDocument/2006/relationships/hyperlink" Target="http://mbe.oxfordjournals.org/content/23/8/1628.full.pdf" TargetMode="External"/><Relationship Id="rId6" Type="http://schemas.openxmlformats.org/officeDocument/2006/relationships/hyperlink" Target="http://www.cell.com/current-biology/pdf/S0960-9822%2816%2900078-6.pdf" TargetMode="External"/><Relationship Id="rId18" Type="http://schemas.openxmlformats.org/officeDocument/2006/relationships/hyperlink" Target="http://www.ncbi.nlm.nih.gov/pmc/articles/PMC2790577/?tool=pubmed" TargetMode="External"/><Relationship Id="rId7" Type="http://schemas.openxmlformats.org/officeDocument/2006/relationships/hyperlink" Target="http://science.sciencemag.org/content/357/6356/1160" TargetMode="External"/><Relationship Id="rId8" Type="http://schemas.openxmlformats.org/officeDocument/2006/relationships/hyperlink" Target="http://hammerlab.biosci.arizona.edu/publications/Cox_2006_AmJHumBiol_v18_p35.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25"/>
    <col customWidth="1" min="2" max="2" width="9.88"/>
    <col customWidth="1" min="3" max="3" width="10.88"/>
    <col customWidth="1" min="4" max="4" width="16.38"/>
    <col customWidth="1" min="5" max="6" width="11.25"/>
    <col customWidth="1" min="7" max="7" width="11.0"/>
    <col customWidth="1" min="8" max="8" width="10.75"/>
    <col customWidth="1" min="9" max="9" width="9.88"/>
    <col customWidth="1" min="10" max="10" width="11.5"/>
  </cols>
  <sheetData>
    <row r="1">
      <c r="A1" s="1"/>
      <c r="B1" s="1"/>
      <c r="C1" s="2"/>
      <c r="D1" s="2"/>
      <c r="E1" s="2"/>
      <c r="F1" s="3" t="s">
        <v>0</v>
      </c>
      <c r="G1" s="2"/>
      <c r="H1" s="2"/>
      <c r="I1" s="4"/>
      <c r="J1" s="4"/>
      <c r="L1" s="1"/>
      <c r="M1" s="1"/>
      <c r="N1" s="1"/>
      <c r="O1" s="1"/>
      <c r="P1" s="1"/>
      <c r="Q1" s="1"/>
      <c r="R1" s="1"/>
      <c r="S1" s="1"/>
      <c r="T1" s="1"/>
      <c r="U1" s="1"/>
      <c r="V1" s="1"/>
      <c r="W1" s="1"/>
      <c r="X1" s="1"/>
      <c r="Y1" s="1"/>
      <c r="Z1" s="1"/>
      <c r="AA1" s="1"/>
    </row>
    <row r="2">
      <c r="A2" s="1"/>
      <c r="B2" s="1"/>
      <c r="C2" s="1"/>
      <c r="D2" s="1"/>
      <c r="E2" s="1"/>
      <c r="F2" s="1"/>
      <c r="G2" s="1"/>
      <c r="H2" s="1"/>
      <c r="I2" s="1"/>
      <c r="J2" s="1"/>
      <c r="K2" s="1"/>
      <c r="L2" s="1"/>
      <c r="M2" s="1"/>
      <c r="N2" s="1"/>
      <c r="O2" s="1"/>
      <c r="P2" s="1"/>
      <c r="Q2" s="1"/>
      <c r="R2" s="1"/>
      <c r="S2" s="1"/>
      <c r="T2" s="1"/>
      <c r="U2" s="1"/>
      <c r="V2" s="1"/>
      <c r="W2" s="1"/>
      <c r="X2" s="1"/>
      <c r="Y2" s="1"/>
      <c r="Z2" s="1"/>
      <c r="AA2" s="1"/>
    </row>
    <row r="3">
      <c r="A3" s="1"/>
      <c r="B3" s="1"/>
      <c r="C3" s="1"/>
      <c r="D3" s="1"/>
      <c r="E3" s="1"/>
      <c r="F3" s="1"/>
      <c r="G3" s="1"/>
      <c r="H3" s="1"/>
      <c r="I3" s="1"/>
      <c r="J3" s="1"/>
      <c r="K3" s="1"/>
      <c r="L3" s="1"/>
      <c r="M3" s="1"/>
      <c r="N3" s="1"/>
      <c r="O3" s="1"/>
      <c r="P3" s="1"/>
      <c r="Q3" s="1"/>
      <c r="R3" s="1"/>
      <c r="S3" s="1"/>
      <c r="T3" s="1"/>
      <c r="U3" s="1"/>
      <c r="V3" s="1"/>
      <c r="W3" s="1"/>
      <c r="X3" s="1"/>
      <c r="Y3" s="1"/>
      <c r="Z3" s="1"/>
      <c r="AA3" s="1"/>
    </row>
    <row r="4">
      <c r="A4" s="5"/>
      <c r="B4" s="6"/>
      <c r="C4" s="7" t="s">
        <v>1</v>
      </c>
      <c r="D4" s="8"/>
      <c r="E4" s="8"/>
      <c r="F4" s="8"/>
      <c r="G4" s="8"/>
      <c r="H4" s="8"/>
      <c r="I4" s="8"/>
      <c r="J4" s="9"/>
      <c r="K4" s="1"/>
      <c r="L4" s="1"/>
      <c r="M4" s="1"/>
      <c r="N4" s="1"/>
      <c r="O4" s="1"/>
      <c r="P4" s="1"/>
      <c r="Q4" s="1"/>
      <c r="R4" s="1"/>
      <c r="S4" s="1"/>
      <c r="T4" s="1"/>
      <c r="U4" s="1"/>
      <c r="V4" s="1"/>
      <c r="W4" s="1"/>
      <c r="X4" s="1"/>
      <c r="Y4" s="1"/>
      <c r="Z4" s="1"/>
      <c r="AA4" s="1"/>
    </row>
    <row r="5">
      <c r="A5" s="1"/>
      <c r="B5" s="1"/>
      <c r="C5" s="10"/>
      <c r="D5" s="1"/>
      <c r="E5" s="1"/>
      <c r="F5" s="1"/>
      <c r="G5" s="1"/>
      <c r="H5" s="11"/>
      <c r="I5" s="12"/>
      <c r="J5" s="1"/>
      <c r="K5" s="1"/>
      <c r="L5" s="1"/>
      <c r="M5" s="1"/>
      <c r="N5" s="1"/>
      <c r="O5" s="1"/>
      <c r="P5" s="1"/>
      <c r="Q5" s="1"/>
      <c r="R5" s="1"/>
      <c r="S5" s="1"/>
      <c r="T5" s="1"/>
      <c r="U5" s="1"/>
      <c r="V5" s="1"/>
      <c r="W5" s="1"/>
      <c r="X5" s="1"/>
      <c r="Y5" s="1"/>
      <c r="Z5" s="1"/>
      <c r="AA5" s="1"/>
    </row>
    <row r="6">
      <c r="A6" s="1"/>
      <c r="B6" s="1"/>
      <c r="C6" s="10" t="s">
        <v>2</v>
      </c>
      <c r="D6" s="1"/>
      <c r="E6" s="1"/>
      <c r="F6" s="1"/>
      <c r="G6" s="1"/>
      <c r="H6" s="11" t="s">
        <v>3</v>
      </c>
      <c r="I6" s="13" t="s">
        <v>4</v>
      </c>
      <c r="J6" s="14"/>
      <c r="K6" s="1"/>
      <c r="L6" s="1"/>
      <c r="M6" s="1"/>
      <c r="N6" s="1"/>
      <c r="O6" s="1"/>
      <c r="P6" s="1"/>
      <c r="Q6" s="1"/>
      <c r="R6" s="1"/>
      <c r="S6" s="1"/>
      <c r="T6" s="1"/>
      <c r="U6" s="1"/>
      <c r="V6" s="1"/>
      <c r="W6" s="1"/>
      <c r="X6" s="1"/>
      <c r="Y6" s="1"/>
      <c r="Z6" s="1"/>
      <c r="AA6" s="1"/>
    </row>
    <row r="7">
      <c r="A7" s="1"/>
      <c r="B7" s="1"/>
      <c r="C7" s="15" t="s">
        <v>5</v>
      </c>
      <c r="F7" s="11" t="s">
        <v>3</v>
      </c>
      <c r="G7" s="1"/>
      <c r="I7" s="1"/>
      <c r="J7" s="1"/>
      <c r="K7" s="1"/>
      <c r="L7" s="1"/>
      <c r="M7" s="1"/>
      <c r="N7" s="1"/>
      <c r="O7" s="1"/>
      <c r="P7" s="1"/>
      <c r="Q7" s="1"/>
      <c r="R7" s="1"/>
      <c r="S7" s="1"/>
      <c r="T7" s="1"/>
      <c r="U7" s="1"/>
      <c r="V7" s="1"/>
      <c r="W7" s="1"/>
      <c r="X7" s="1"/>
      <c r="Y7" s="1"/>
      <c r="Z7" s="1"/>
      <c r="AA7" s="1"/>
    </row>
    <row r="8">
      <c r="A8" s="1"/>
      <c r="B8" s="1"/>
      <c r="C8" s="14"/>
      <c r="D8" s="16" t="s">
        <v>6</v>
      </c>
      <c r="E8" s="14"/>
      <c r="F8" s="14"/>
      <c r="H8" s="17" t="s">
        <v>7</v>
      </c>
      <c r="I8" s="1"/>
      <c r="L8" s="1"/>
      <c r="M8" s="1"/>
      <c r="N8" s="1"/>
      <c r="O8" s="1"/>
      <c r="P8" s="1"/>
      <c r="Q8" s="1"/>
      <c r="R8" s="1"/>
      <c r="S8" s="1"/>
      <c r="T8" s="1"/>
      <c r="U8" s="1"/>
      <c r="V8" s="1"/>
      <c r="W8" s="1"/>
      <c r="X8" s="1"/>
      <c r="Y8" s="1"/>
      <c r="Z8" s="1"/>
      <c r="AA8" s="1"/>
    </row>
    <row r="9">
      <c r="A9" s="1"/>
      <c r="B9" s="1"/>
      <c r="C9" s="1"/>
      <c r="D9" s="1"/>
      <c r="E9" s="1"/>
      <c r="F9" s="1"/>
      <c r="G9" s="1"/>
      <c r="H9" s="1"/>
      <c r="I9" s="1"/>
      <c r="J9" s="1"/>
      <c r="K9" s="1"/>
      <c r="L9" s="1"/>
      <c r="M9" s="1"/>
      <c r="N9" s="1"/>
      <c r="O9" s="1"/>
      <c r="P9" s="1"/>
      <c r="Q9" s="1"/>
      <c r="R9" s="1"/>
      <c r="S9" s="1"/>
      <c r="T9" s="1"/>
      <c r="U9" s="1"/>
      <c r="V9" s="1"/>
      <c r="W9" s="1"/>
      <c r="X9" s="1"/>
      <c r="Y9" s="1"/>
      <c r="Z9" s="1"/>
      <c r="AA9" s="1"/>
    </row>
    <row r="10">
      <c r="A10" s="1"/>
      <c r="B10" s="18" t="s">
        <v>8</v>
      </c>
      <c r="M10" s="1"/>
      <c r="N10" s="1"/>
      <c r="O10" s="1"/>
      <c r="P10" s="1"/>
      <c r="Q10" s="1"/>
      <c r="R10" s="1"/>
      <c r="S10" s="1"/>
      <c r="T10" s="1"/>
      <c r="U10" s="1"/>
      <c r="V10" s="1"/>
      <c r="W10" s="1"/>
      <c r="X10" s="1"/>
      <c r="Y10" s="1"/>
      <c r="Z10" s="1"/>
      <c r="AA10" s="1"/>
    </row>
    <row r="11">
      <c r="A11" s="1"/>
      <c r="B11" s="19" t="s">
        <v>9</v>
      </c>
      <c r="C11" s="20"/>
      <c r="D11" s="20"/>
      <c r="E11" s="20"/>
      <c r="F11" s="20"/>
      <c r="G11" s="20"/>
      <c r="H11" s="21" t="s">
        <v>10</v>
      </c>
      <c r="I11" s="22"/>
      <c r="J11" s="22"/>
      <c r="K11" s="1"/>
      <c r="M11" s="1"/>
      <c r="N11" s="1"/>
      <c r="O11" s="1"/>
      <c r="P11" s="1"/>
      <c r="Q11" s="1"/>
      <c r="R11" s="1"/>
      <c r="S11" s="1"/>
      <c r="T11" s="1"/>
      <c r="U11" s="1"/>
      <c r="V11" s="1"/>
      <c r="W11" s="1"/>
      <c r="X11" s="1"/>
      <c r="Y11" s="1"/>
      <c r="Z11" s="1"/>
      <c r="AA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c r="A13" s="23" t="s">
        <v>11</v>
      </c>
      <c r="B13" s="24" t="s">
        <v>12</v>
      </c>
      <c r="C13" s="24" t="s">
        <v>13</v>
      </c>
      <c r="D13" s="14"/>
      <c r="E13" s="25" t="str">
        <f>HYPERLINK("https://docs.google.com/spreadsheets/d/1Y0GXjhazYa46u0EpPA9b0Y0RVWuh5lDzww_o979mbjQ/edit#gid=1904113265","Y-DNA Tree Trunk")</f>
        <v>Y-DNA Tree Trunk</v>
      </c>
      <c r="F13" s="1"/>
      <c r="G13" s="24" t="s">
        <v>14</v>
      </c>
      <c r="H13" s="14"/>
      <c r="I13" s="16" t="s">
        <v>15</v>
      </c>
      <c r="J13" s="1"/>
      <c r="K13" s="26" t="str">
        <f>HYPERLINK("https://docs.google.com/spreadsheets/d/1yjXfo8_vfVNzp-yfYoBQLQK8gzqJg5nNtuTTD1RrFS4/edit#gid=0","Listing Criteria")</f>
        <v>Listing Criteria</v>
      </c>
      <c r="L13" s="1"/>
      <c r="M13" s="1"/>
      <c r="N13" s="1"/>
      <c r="O13" s="1"/>
      <c r="P13" s="1"/>
      <c r="Q13" s="1"/>
      <c r="R13" s="1"/>
      <c r="S13" s="1"/>
      <c r="T13" s="1"/>
      <c r="U13" s="1"/>
      <c r="V13" s="1"/>
      <c r="W13" s="1"/>
      <c r="X13" s="1"/>
      <c r="Y13" s="1"/>
      <c r="Z13" s="1"/>
      <c r="AA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c r="A15" s="27" t="s">
        <v>16</v>
      </c>
      <c r="B15" s="1"/>
      <c r="C15" s="14"/>
      <c r="D15" s="14"/>
      <c r="E15" s="28" t="s">
        <v>17</v>
      </c>
      <c r="F15" s="14"/>
      <c r="G15" s="14"/>
      <c r="H15" s="29" t="s">
        <v>18</v>
      </c>
      <c r="I15" s="14"/>
      <c r="J15" s="30" t="s">
        <v>19</v>
      </c>
      <c r="K15" s="1"/>
      <c r="L15" s="1"/>
      <c r="M15" s="1"/>
      <c r="N15" s="1"/>
      <c r="O15" s="1"/>
      <c r="P15" s="1"/>
      <c r="Q15" s="1"/>
      <c r="R15" s="1"/>
      <c r="S15" s="1"/>
      <c r="T15" s="1"/>
      <c r="U15" s="1"/>
      <c r="V15" s="1"/>
      <c r="W15" s="1"/>
      <c r="X15" s="1"/>
      <c r="Y15" s="1"/>
      <c r="Z15" s="1"/>
      <c r="AA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c r="A17" s="27" t="s">
        <v>20</v>
      </c>
      <c r="B17" s="1"/>
      <c r="C17" s="31" t="s">
        <v>21</v>
      </c>
      <c r="E17" s="14"/>
      <c r="F17" s="14"/>
      <c r="G17" s="14"/>
      <c r="H17" s="14"/>
      <c r="I17" s="14"/>
      <c r="J17" s="14"/>
      <c r="K17" s="14"/>
      <c r="L17" s="1"/>
      <c r="M17" s="1"/>
      <c r="N17" s="1"/>
      <c r="O17" s="1"/>
      <c r="P17" s="1"/>
      <c r="Q17" s="1"/>
      <c r="R17" s="1"/>
      <c r="S17" s="1"/>
      <c r="T17" s="1"/>
      <c r="U17" s="1"/>
      <c r="V17" s="1"/>
      <c r="W17" s="1"/>
      <c r="X17" s="1"/>
      <c r="Y17" s="1"/>
      <c r="Z17" s="1"/>
      <c r="AA17" s="1"/>
    </row>
    <row r="18">
      <c r="A18" s="1"/>
      <c r="B18" s="1"/>
      <c r="C18" s="31" t="s">
        <v>22</v>
      </c>
      <c r="E18" s="14"/>
      <c r="F18" s="14"/>
      <c r="G18" s="14"/>
      <c r="H18" s="14"/>
      <c r="I18" s="1"/>
      <c r="J18" s="1"/>
      <c r="K18" s="1"/>
      <c r="L18" s="1"/>
      <c r="M18" s="1"/>
      <c r="N18" s="1"/>
      <c r="O18" s="1"/>
      <c r="P18" s="1"/>
      <c r="Q18" s="1"/>
      <c r="R18" s="1"/>
      <c r="S18" s="1"/>
      <c r="T18" s="1"/>
      <c r="U18" s="1"/>
      <c r="V18" s="1"/>
      <c r="W18" s="1"/>
      <c r="X18" s="1"/>
      <c r="Y18" s="1"/>
      <c r="Z18" s="1"/>
      <c r="AA18" s="1"/>
    </row>
    <row r="19">
      <c r="A19" s="1"/>
      <c r="B19" s="1"/>
      <c r="C19" s="31" t="s">
        <v>23</v>
      </c>
      <c r="E19" s="14"/>
      <c r="F19" s="14"/>
      <c r="G19" s="14"/>
      <c r="H19" s="1"/>
      <c r="I19" s="1"/>
      <c r="J19" s="1"/>
      <c r="K19" s="1"/>
      <c r="L19" s="1"/>
      <c r="M19" s="1"/>
      <c r="N19" s="1"/>
      <c r="O19" s="1"/>
      <c r="P19" s="1"/>
      <c r="Q19" s="1"/>
      <c r="R19" s="1"/>
      <c r="S19" s="1"/>
      <c r="T19" s="1"/>
      <c r="U19" s="1"/>
      <c r="V19" s="1"/>
      <c r="W19" s="1"/>
      <c r="X19" s="1"/>
      <c r="Y19" s="1"/>
      <c r="Z19" s="1"/>
      <c r="AA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c r="A21" s="1"/>
      <c r="B21" s="32" t="s">
        <v>24</v>
      </c>
      <c r="K21" s="10"/>
      <c r="L21" s="1"/>
      <c r="M21" s="1"/>
      <c r="N21" s="1"/>
      <c r="O21" s="1"/>
      <c r="P21" s="1"/>
      <c r="Q21" s="1"/>
      <c r="R21" s="1"/>
      <c r="S21" s="1"/>
      <c r="T21" s="1"/>
      <c r="U21" s="1"/>
      <c r="V21" s="1"/>
      <c r="W21" s="1"/>
      <c r="X21" s="1"/>
      <c r="Y21" s="1"/>
      <c r="Z21" s="1"/>
      <c r="AA21" s="1"/>
    </row>
    <row r="22">
      <c r="A22" s="1"/>
      <c r="B22" s="33" t="s">
        <v>25</v>
      </c>
      <c r="C22" s="34"/>
      <c r="D22" s="34"/>
      <c r="E22" s="34"/>
      <c r="F22" s="34"/>
      <c r="G22" s="34"/>
      <c r="H22" s="34"/>
      <c r="I22" s="34"/>
      <c r="J22" s="34"/>
      <c r="K22" s="35"/>
      <c r="L22" s="1"/>
      <c r="M22" s="1"/>
      <c r="N22" s="1"/>
      <c r="O22" s="1"/>
      <c r="P22" s="1"/>
      <c r="Q22" s="1"/>
      <c r="R22" s="1"/>
      <c r="S22" s="1"/>
      <c r="T22" s="1"/>
      <c r="U22" s="1"/>
      <c r="V22" s="1"/>
      <c r="W22" s="1"/>
      <c r="X22" s="1"/>
      <c r="Y22" s="1"/>
      <c r="Z22" s="1"/>
      <c r="AA22" s="1"/>
    </row>
    <row r="23">
      <c r="A23" s="1"/>
      <c r="B23" s="36" t="s">
        <v>26</v>
      </c>
      <c r="K23" s="1"/>
      <c r="L23" s="1"/>
      <c r="M23" s="1"/>
      <c r="N23" s="1"/>
      <c r="O23" s="1"/>
      <c r="P23" s="1"/>
      <c r="Q23" s="1"/>
      <c r="R23" s="1"/>
      <c r="S23" s="1"/>
      <c r="T23" s="1"/>
      <c r="U23" s="1"/>
      <c r="V23" s="1"/>
      <c r="W23" s="1"/>
      <c r="X23" s="1"/>
      <c r="Y23" s="1"/>
      <c r="Z23" s="1"/>
      <c r="AA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c r="C25" s="15" t="s">
        <v>4</v>
      </c>
    </row>
    <row r="26">
      <c r="A26" s="37" t="s">
        <v>27</v>
      </c>
      <c r="B26" s="38" t="s">
        <v>28</v>
      </c>
    </row>
    <row r="27">
      <c r="B27" s="39" t="s">
        <v>29</v>
      </c>
      <c r="C27" s="40" t="s">
        <v>30</v>
      </c>
      <c r="M27" s="38"/>
      <c r="N27" s="38"/>
      <c r="O27" s="38"/>
    </row>
    <row r="28">
      <c r="B28" s="41" t="s">
        <v>31</v>
      </c>
      <c r="C28" s="42" t="s">
        <v>32</v>
      </c>
      <c r="M28" s="42"/>
      <c r="N28" s="42"/>
      <c r="O28" s="42"/>
    </row>
    <row r="29">
      <c r="C29" s="39" t="s">
        <v>33</v>
      </c>
      <c r="D29" s="43" t="s">
        <v>34</v>
      </c>
      <c r="E29" s="42"/>
      <c r="F29" s="42"/>
      <c r="G29" s="42"/>
      <c r="H29" s="42"/>
      <c r="I29" s="42"/>
      <c r="J29" s="42"/>
      <c r="K29" s="42"/>
      <c r="L29" s="42"/>
      <c r="M29" s="42"/>
      <c r="N29" s="42"/>
      <c r="O29" s="42"/>
    </row>
    <row r="30">
      <c r="C30" s="42"/>
      <c r="D30" s="39" t="s">
        <v>35</v>
      </c>
      <c r="E30" s="44" t="s">
        <v>36</v>
      </c>
      <c r="F30" s="42"/>
      <c r="G30" s="42"/>
      <c r="H30" s="42"/>
      <c r="I30" s="42"/>
      <c r="J30" s="42"/>
      <c r="K30" s="42"/>
      <c r="L30" s="42"/>
      <c r="M30" s="42"/>
      <c r="N30" s="42"/>
      <c r="O30" s="42"/>
    </row>
    <row r="31">
      <c r="D31" s="45"/>
      <c r="E31" s="37" t="s">
        <v>37</v>
      </c>
      <c r="F31" s="46" t="s">
        <v>38</v>
      </c>
      <c r="O31" s="47"/>
    </row>
    <row r="32">
      <c r="F32" s="48" t="s">
        <v>39</v>
      </c>
      <c r="G32" s="49" t="s">
        <v>40</v>
      </c>
    </row>
    <row r="33">
      <c r="F33" s="37" t="s">
        <v>41</v>
      </c>
      <c r="G33" s="38" t="s">
        <v>42</v>
      </c>
      <c r="I33" s="47"/>
    </row>
    <row r="34">
      <c r="G34" s="37" t="s">
        <v>43</v>
      </c>
      <c r="H34" s="38" t="s">
        <v>44</v>
      </c>
    </row>
    <row r="35">
      <c r="H35" s="37" t="s">
        <v>45</v>
      </c>
      <c r="I35" s="50" t="s">
        <v>46</v>
      </c>
      <c r="J35" s="51"/>
      <c r="K35" s="51"/>
    </row>
    <row r="36">
      <c r="H36" s="48" t="s">
        <v>47</v>
      </c>
      <c r="I36" s="52" t="s">
        <v>48</v>
      </c>
    </row>
    <row r="37">
      <c r="H37" s="41" t="s">
        <v>49</v>
      </c>
      <c r="I37" s="42" t="s">
        <v>50</v>
      </c>
    </row>
    <row r="38">
      <c r="I38" s="37" t="s">
        <v>51</v>
      </c>
      <c r="J38" s="38" t="s">
        <v>52</v>
      </c>
    </row>
    <row r="39">
      <c r="I39" s="37" t="s">
        <v>53</v>
      </c>
      <c r="J39" s="38" t="s">
        <v>54</v>
      </c>
    </row>
    <row r="40">
      <c r="I40" s="48" t="s">
        <v>55</v>
      </c>
      <c r="J40" s="53" t="s">
        <v>56</v>
      </c>
      <c r="K40" s="47"/>
      <c r="L40" s="47"/>
      <c r="M40" s="47"/>
    </row>
    <row r="41">
      <c r="I41" s="48" t="s">
        <v>57</v>
      </c>
      <c r="J41" s="53" t="s">
        <v>58</v>
      </c>
      <c r="K41" s="47"/>
      <c r="L41" s="47"/>
      <c r="M41" s="47"/>
    </row>
    <row r="42">
      <c r="F42" s="48" t="s">
        <v>59</v>
      </c>
      <c r="G42" s="53" t="s">
        <v>60</v>
      </c>
    </row>
    <row r="43">
      <c r="G43" s="48" t="s">
        <v>61</v>
      </c>
      <c r="H43" s="53" t="s">
        <v>62</v>
      </c>
    </row>
    <row r="44">
      <c r="G44" s="37" t="s">
        <v>63</v>
      </c>
      <c r="H44" s="54" t="s">
        <v>64</v>
      </c>
    </row>
    <row r="45">
      <c r="A45" s="55"/>
      <c r="G45" s="48" t="s">
        <v>65</v>
      </c>
      <c r="H45" s="53" t="s">
        <v>66</v>
      </c>
    </row>
    <row r="46">
      <c r="A46" s="55"/>
      <c r="H46" s="37" t="s">
        <v>67</v>
      </c>
      <c r="I46" s="56" t="s">
        <v>68</v>
      </c>
      <c r="J46" s="57"/>
    </row>
    <row r="47">
      <c r="A47" s="55"/>
      <c r="H47" s="48" t="s">
        <v>69</v>
      </c>
      <c r="I47" s="53" t="s">
        <v>70</v>
      </c>
    </row>
    <row r="48">
      <c r="A48" s="55"/>
      <c r="I48" s="48" t="s">
        <v>71</v>
      </c>
      <c r="J48" s="53" t="s">
        <v>72</v>
      </c>
    </row>
    <row r="49">
      <c r="A49" s="55"/>
      <c r="I49" s="39" t="s">
        <v>73</v>
      </c>
      <c r="J49" s="58" t="s">
        <v>74</v>
      </c>
    </row>
    <row r="50">
      <c r="A50" s="55"/>
      <c r="J50" s="48" t="s">
        <v>75</v>
      </c>
      <c r="K50" s="53" t="s">
        <v>76</v>
      </c>
    </row>
    <row r="51">
      <c r="A51" s="55"/>
      <c r="J51" s="48" t="s">
        <v>77</v>
      </c>
      <c r="K51" s="53" t="s">
        <v>78</v>
      </c>
    </row>
    <row r="52">
      <c r="A52" s="55"/>
      <c r="I52" s="39" t="s">
        <v>79</v>
      </c>
      <c r="J52" s="59" t="s">
        <v>80</v>
      </c>
    </row>
    <row r="53">
      <c r="A53" s="55"/>
      <c r="J53" s="48" t="s">
        <v>81</v>
      </c>
      <c r="K53" s="53" t="s">
        <v>82</v>
      </c>
    </row>
    <row r="54">
      <c r="A54" s="55"/>
      <c r="J54" s="48" t="s">
        <v>83</v>
      </c>
      <c r="K54" s="53" t="s">
        <v>84</v>
      </c>
    </row>
    <row r="55">
      <c r="A55" s="55"/>
      <c r="I55" s="48" t="s">
        <v>85</v>
      </c>
      <c r="J55" s="53" t="s">
        <v>86</v>
      </c>
    </row>
    <row r="56">
      <c r="A56" s="55"/>
      <c r="H56" s="37" t="s">
        <v>87</v>
      </c>
      <c r="I56" s="60" t="s">
        <v>88</v>
      </c>
    </row>
    <row r="57">
      <c r="A57" s="55"/>
      <c r="H57" s="48" t="s">
        <v>89</v>
      </c>
      <c r="I57" s="53" t="s">
        <v>90</v>
      </c>
    </row>
    <row r="58">
      <c r="A58" s="55"/>
      <c r="I58" s="48" t="s">
        <v>91</v>
      </c>
      <c r="J58" s="53" t="s">
        <v>92</v>
      </c>
    </row>
    <row r="59">
      <c r="A59" s="55"/>
      <c r="I59" s="48" t="s">
        <v>93</v>
      </c>
      <c r="J59" s="53" t="s">
        <v>94</v>
      </c>
    </row>
    <row r="60">
      <c r="A60" s="55"/>
      <c r="D60" s="48" t="s">
        <v>95</v>
      </c>
      <c r="E60" s="53" t="s">
        <v>96</v>
      </c>
    </row>
    <row r="61">
      <c r="A61" s="55"/>
      <c r="C61" s="48" t="s">
        <v>97</v>
      </c>
      <c r="D61" s="53" t="s">
        <v>98</v>
      </c>
      <c r="E61" s="53"/>
    </row>
    <row r="62">
      <c r="A62" s="55"/>
      <c r="B62" s="37" t="s">
        <v>99</v>
      </c>
      <c r="C62" s="38" t="s">
        <v>100</v>
      </c>
    </row>
    <row r="63">
      <c r="A63" s="55"/>
      <c r="B63" s="48" t="s">
        <v>101</v>
      </c>
      <c r="C63" s="53" t="s">
        <v>102</v>
      </c>
      <c r="D63" s="47"/>
    </row>
    <row r="64">
      <c r="A64" s="55"/>
      <c r="C64" s="37" t="s">
        <v>103</v>
      </c>
      <c r="D64" s="50" t="s">
        <v>104</v>
      </c>
      <c r="E64" s="51"/>
    </row>
    <row r="65">
      <c r="A65" s="55"/>
      <c r="B65" s="37" t="s">
        <v>105</v>
      </c>
      <c r="C65" s="38" t="s">
        <v>106</v>
      </c>
      <c r="D65" s="15" t="s">
        <v>4</v>
      </c>
    </row>
    <row r="66">
      <c r="A66" s="55"/>
    </row>
    <row r="67">
      <c r="B67" s="61" t="s">
        <v>107</v>
      </c>
      <c r="C67" s="62"/>
      <c r="D67" s="62"/>
      <c r="E67" s="62"/>
      <c r="F67" s="62"/>
    </row>
    <row r="69">
      <c r="A69" s="55" t="s">
        <v>108</v>
      </c>
    </row>
    <row r="71">
      <c r="A71" s="63" t="s">
        <v>109</v>
      </c>
      <c r="B71" s="47"/>
      <c r="C71" s="47"/>
      <c r="D71" s="47"/>
      <c r="E71" s="47"/>
      <c r="F71" s="47"/>
      <c r="G71" s="47"/>
      <c r="H71" s="47"/>
      <c r="I71" s="47"/>
      <c r="J71" s="47"/>
      <c r="K71" s="47"/>
      <c r="L71" s="47"/>
      <c r="M71" s="47"/>
      <c r="N71" s="47"/>
    </row>
    <row r="72">
      <c r="A72" s="63"/>
      <c r="B72" s="64" t="s">
        <v>110</v>
      </c>
      <c r="C72" s="47"/>
      <c r="D72" s="47"/>
      <c r="E72" s="47"/>
      <c r="F72" s="47"/>
      <c r="G72" s="47"/>
      <c r="H72" s="47"/>
      <c r="I72" s="47"/>
      <c r="J72" s="47"/>
      <c r="K72" s="47"/>
      <c r="L72" s="47"/>
      <c r="M72" s="47"/>
      <c r="N72" s="47"/>
    </row>
    <row r="73">
      <c r="A73" s="63" t="s">
        <v>111</v>
      </c>
      <c r="B73" s="47"/>
      <c r="C73" s="47"/>
      <c r="D73" s="47"/>
      <c r="E73" s="47"/>
      <c r="F73" s="47"/>
      <c r="G73" s="47"/>
      <c r="H73" s="47"/>
      <c r="I73" s="47"/>
      <c r="J73" s="47"/>
      <c r="K73" s="47"/>
      <c r="L73" s="47"/>
      <c r="M73" s="47"/>
      <c r="N73" s="47"/>
    </row>
    <row r="74">
      <c r="A74" s="63" t="s">
        <v>112</v>
      </c>
      <c r="B74" s="47"/>
      <c r="C74" s="47"/>
      <c r="D74" s="47"/>
      <c r="E74" s="47"/>
      <c r="F74" s="47"/>
      <c r="G74" s="47"/>
      <c r="H74" s="47"/>
      <c r="I74" s="47"/>
      <c r="J74" s="47"/>
      <c r="K74" s="47"/>
      <c r="L74" s="47"/>
      <c r="M74" s="47"/>
      <c r="N74" s="47"/>
    </row>
    <row r="75">
      <c r="A75" s="47"/>
      <c r="B75" s="64" t="s">
        <v>113</v>
      </c>
      <c r="C75" s="47"/>
      <c r="D75" s="47"/>
      <c r="E75" s="47"/>
      <c r="F75" s="47"/>
      <c r="G75" s="47"/>
      <c r="H75" s="47"/>
      <c r="I75" s="47"/>
      <c r="J75" s="47"/>
      <c r="K75" s="47"/>
      <c r="L75" s="47"/>
      <c r="M75" s="47"/>
      <c r="N75" s="47"/>
    </row>
    <row r="76">
      <c r="A76" s="47"/>
      <c r="B76" s="64" t="s">
        <v>114</v>
      </c>
      <c r="C76" s="47"/>
      <c r="D76" s="47"/>
      <c r="E76" s="47"/>
      <c r="F76" s="47"/>
      <c r="G76" s="47"/>
      <c r="H76" s="47"/>
      <c r="I76" s="47"/>
      <c r="J76" s="47"/>
      <c r="K76" s="47"/>
      <c r="L76" s="47"/>
      <c r="M76" s="47"/>
      <c r="N76" s="47"/>
    </row>
    <row r="77">
      <c r="A77" s="47"/>
      <c r="B77" s="47"/>
      <c r="C77" s="47"/>
      <c r="D77" s="47"/>
      <c r="E77" s="47"/>
      <c r="F77" s="47"/>
      <c r="G77" s="47"/>
      <c r="H77" s="47"/>
      <c r="I77" s="47"/>
      <c r="J77" s="47"/>
      <c r="K77" s="47"/>
      <c r="L77" s="47"/>
      <c r="M77" s="47"/>
      <c r="N77" s="47"/>
    </row>
    <row r="78">
      <c r="A78" s="65" t="s">
        <v>115</v>
      </c>
      <c r="B78" s="47"/>
      <c r="C78" s="64" t="s">
        <v>116</v>
      </c>
      <c r="D78" s="47"/>
      <c r="E78" s="47"/>
      <c r="F78" s="47"/>
      <c r="G78" s="47"/>
      <c r="H78" s="47"/>
      <c r="I78" s="47"/>
      <c r="J78" s="47"/>
      <c r="K78" s="47"/>
      <c r="L78" s="47"/>
      <c r="M78" s="47"/>
      <c r="N78" s="47"/>
    </row>
    <row r="79">
      <c r="A79" s="47"/>
      <c r="B79" s="64" t="s">
        <v>117</v>
      </c>
      <c r="C79" s="47"/>
      <c r="D79" s="47"/>
      <c r="E79" s="47"/>
      <c r="F79" s="47"/>
      <c r="G79" s="47"/>
      <c r="H79" s="47"/>
      <c r="I79" s="47"/>
      <c r="J79" s="47"/>
      <c r="K79" s="47"/>
      <c r="L79" s="47"/>
      <c r="M79" s="47"/>
      <c r="N79" s="47"/>
    </row>
    <row r="80">
      <c r="A80" s="47"/>
      <c r="B80" s="47"/>
      <c r="C80" s="47"/>
      <c r="D80" s="47"/>
      <c r="E80" s="47"/>
      <c r="F80" s="47"/>
      <c r="G80" s="47"/>
      <c r="H80" s="47"/>
      <c r="I80" s="47"/>
      <c r="J80" s="47"/>
      <c r="K80" s="47"/>
      <c r="L80" s="47"/>
      <c r="M80" s="47"/>
      <c r="N80" s="47"/>
    </row>
    <row r="81">
      <c r="A81" s="65" t="s">
        <v>118</v>
      </c>
      <c r="B81" s="47"/>
      <c r="C81" s="47"/>
      <c r="D81" s="47"/>
      <c r="E81" s="47"/>
      <c r="F81" s="47"/>
      <c r="G81" s="47"/>
      <c r="H81" s="47"/>
      <c r="I81" s="47"/>
      <c r="J81" s="47"/>
      <c r="K81" s="47"/>
      <c r="L81" s="47"/>
      <c r="M81" s="47"/>
      <c r="N81" s="47"/>
    </row>
    <row r="82">
      <c r="A82" s="47"/>
      <c r="B82" s="47"/>
      <c r="C82" s="47"/>
      <c r="D82" s="47"/>
      <c r="E82" s="47"/>
      <c r="F82" s="47"/>
      <c r="G82" s="47"/>
      <c r="H82" s="47"/>
      <c r="I82" s="47"/>
      <c r="J82" s="47"/>
      <c r="K82" s="47"/>
      <c r="L82" s="47"/>
      <c r="M82" s="47"/>
      <c r="N82" s="47"/>
    </row>
    <row r="83">
      <c r="A83" s="63"/>
      <c r="B83" s="47"/>
      <c r="C83" s="47"/>
      <c r="D83" s="47"/>
      <c r="E83" s="47"/>
      <c r="F83" s="47"/>
      <c r="G83" s="47"/>
      <c r="H83" s="47"/>
      <c r="I83" s="47"/>
      <c r="J83" s="47"/>
      <c r="K83" s="47"/>
      <c r="L83" s="47"/>
      <c r="M83" s="47"/>
      <c r="N83" s="47"/>
    </row>
    <row r="84">
      <c r="A84" s="66" t="s">
        <v>51</v>
      </c>
      <c r="C84" s="66" t="s">
        <v>52</v>
      </c>
      <c r="D84" s="66" t="s">
        <v>119</v>
      </c>
      <c r="H84" s="47"/>
      <c r="I84" s="47"/>
      <c r="J84" s="47"/>
      <c r="K84" s="47"/>
      <c r="L84" s="47"/>
      <c r="M84" s="47"/>
      <c r="N84" s="47"/>
    </row>
    <row r="85">
      <c r="A85" s="66" t="s">
        <v>53</v>
      </c>
      <c r="C85" s="66" t="s">
        <v>54</v>
      </c>
      <c r="D85" s="66" t="s">
        <v>119</v>
      </c>
      <c r="H85" s="47"/>
      <c r="I85" s="47"/>
      <c r="J85" s="47"/>
      <c r="K85" s="47"/>
      <c r="L85" s="47"/>
      <c r="M85" s="47"/>
      <c r="N85" s="47"/>
    </row>
    <row r="86">
      <c r="A86" s="66" t="s">
        <v>73</v>
      </c>
      <c r="C86" s="66" t="s">
        <v>120</v>
      </c>
      <c r="D86" s="66" t="s">
        <v>121</v>
      </c>
    </row>
    <row r="87">
      <c r="A87" s="66" t="s">
        <v>79</v>
      </c>
      <c r="C87" s="66" t="s">
        <v>122</v>
      </c>
      <c r="D87" s="66" t="s">
        <v>123</v>
      </c>
    </row>
    <row r="88">
      <c r="A88" s="66" t="s">
        <v>85</v>
      </c>
      <c r="C88" s="66" t="s">
        <v>124</v>
      </c>
      <c r="D88" s="66" t="s">
        <v>123</v>
      </c>
    </row>
    <row r="89">
      <c r="A89" s="66" t="s">
        <v>87</v>
      </c>
      <c r="C89" s="15" t="s">
        <v>125</v>
      </c>
      <c r="D89" s="66"/>
    </row>
    <row r="90">
      <c r="A90" s="66" t="s">
        <v>126</v>
      </c>
      <c r="C90" s="66" t="s">
        <v>127</v>
      </c>
      <c r="D90" s="66" t="s">
        <v>119</v>
      </c>
    </row>
    <row r="91">
      <c r="A91" s="66" t="s">
        <v>128</v>
      </c>
      <c r="C91" s="66" t="s">
        <v>98</v>
      </c>
      <c r="D91" s="66" t="s">
        <v>129</v>
      </c>
    </row>
    <row r="92">
      <c r="A92" s="66" t="s">
        <v>99</v>
      </c>
      <c r="C92" s="66" t="s">
        <v>130</v>
      </c>
      <c r="D92" s="66" t="s">
        <v>119</v>
      </c>
    </row>
    <row r="93">
      <c r="A93" s="66" t="s">
        <v>105</v>
      </c>
      <c r="C93" s="66" t="s">
        <v>106</v>
      </c>
      <c r="D93" s="66" t="s">
        <v>131</v>
      </c>
    </row>
    <row r="96">
      <c r="A96" s="55" t="s">
        <v>132</v>
      </c>
    </row>
    <row r="98">
      <c r="A98" s="67" t="s">
        <v>133</v>
      </c>
      <c r="B98" s="68"/>
      <c r="C98" s="68"/>
      <c r="D98" s="68"/>
      <c r="E98" s="68"/>
      <c r="F98" s="68"/>
      <c r="G98" s="68"/>
      <c r="H98" s="68"/>
      <c r="I98" s="68"/>
      <c r="J98" s="68"/>
      <c r="K98" s="68"/>
      <c r="L98" s="68"/>
      <c r="M98" s="68"/>
      <c r="N98" s="68"/>
      <c r="O98" s="68"/>
      <c r="P98" s="68"/>
      <c r="Q98" s="68"/>
      <c r="R98" s="68"/>
      <c r="S98" s="68"/>
      <c r="T98" s="68"/>
      <c r="U98" s="68"/>
      <c r="V98" s="68"/>
      <c r="W98" s="68"/>
      <c r="X98" s="68"/>
      <c r="Y98" s="68"/>
      <c r="Z98" s="68"/>
      <c r="AA98" s="68"/>
    </row>
    <row r="99">
      <c r="A99" s="67" t="s">
        <v>134</v>
      </c>
      <c r="B99" s="68"/>
      <c r="C99" s="68"/>
      <c r="D99" s="68"/>
      <c r="E99" s="68"/>
      <c r="F99" s="68"/>
      <c r="G99" s="68"/>
      <c r="H99" s="68"/>
      <c r="I99" s="68"/>
      <c r="J99" s="68"/>
      <c r="K99" s="68"/>
      <c r="L99" s="68"/>
      <c r="M99" s="68"/>
      <c r="N99" s="68"/>
      <c r="O99" s="68"/>
      <c r="P99" s="68"/>
      <c r="Q99" s="68"/>
      <c r="R99" s="68"/>
      <c r="S99" s="68"/>
      <c r="T99" s="68"/>
      <c r="U99" s="68"/>
      <c r="V99" s="68"/>
      <c r="W99" s="68"/>
      <c r="X99" s="68"/>
      <c r="Y99" s="68"/>
      <c r="Z99" s="68"/>
      <c r="AA99" s="68"/>
    </row>
    <row r="100">
      <c r="A100" s="67" t="s">
        <v>135</v>
      </c>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c r="AA100" s="68"/>
    </row>
    <row r="101">
      <c r="A101" s="67" t="s">
        <v>136</v>
      </c>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row>
    <row r="102">
      <c r="A102" s="67" t="s">
        <v>137</v>
      </c>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row>
    <row r="103">
      <c r="A103" s="67" t="s">
        <v>138</v>
      </c>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row>
    <row r="104">
      <c r="A104" s="69" t="str">
        <f>HYPERLINK("http://www.genome.org/cgi/content/abstract/gr.7172008v1","Karafet et al, New Binary Polymorphisms Reshape and Increase Resolution of the Human Y-Chromosomal Haplogroup Tree. Abstract. Genome Research, published online April 2, 2008. Supplementary Material.")</f>
        <v>Karafet et al, New Binary Polymorphisms Reshape and Increase Resolution of the Human Y-Chromosomal Haplogroup Tree. Abstract. Genome Research, published online April 2, 2008. Supplementary Material.</v>
      </c>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c r="AA104" s="68"/>
    </row>
    <row r="105">
      <c r="A105" s="67" t="s">
        <v>139</v>
      </c>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row>
    <row r="106">
      <c r="A106" s="67" t="s">
        <v>140</v>
      </c>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row>
    <row r="107">
      <c r="A107" s="67" t="s">
        <v>141</v>
      </c>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row>
    <row r="108">
      <c r="A108" s="67" t="s">
        <v>142</v>
      </c>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c r="AA108" s="68"/>
    </row>
    <row r="109">
      <c r="A109" s="67" t="s">
        <v>143</v>
      </c>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row>
    <row r="110">
      <c r="A110" s="67" t="s">
        <v>144</v>
      </c>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row>
    <row r="111">
      <c r="A111" s="67" t="s">
        <v>145</v>
      </c>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row>
    <row r="112">
      <c r="A112" s="67" t="s">
        <v>146</v>
      </c>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row>
    <row r="114">
      <c r="A114" s="55" t="s">
        <v>147</v>
      </c>
    </row>
    <row r="115">
      <c r="A115" s="11" t="s">
        <v>148</v>
      </c>
      <c r="C115" s="70" t="s">
        <v>149</v>
      </c>
    </row>
    <row r="117">
      <c r="A117" s="55" t="s">
        <v>150</v>
      </c>
    </row>
    <row r="118">
      <c r="A118" s="70"/>
      <c r="C118" s="71" t="s">
        <v>151</v>
      </c>
    </row>
    <row r="119">
      <c r="A119" s="70" t="s">
        <v>4</v>
      </c>
      <c r="C119" s="15" t="s">
        <v>152</v>
      </c>
    </row>
    <row r="120">
      <c r="B120" s="15" t="s">
        <v>4</v>
      </c>
    </row>
    <row r="121">
      <c r="A121" s="72" t="s">
        <v>153</v>
      </c>
      <c r="B121" s="1"/>
      <c r="C121" s="1"/>
      <c r="D121" s="1"/>
      <c r="E121" s="1"/>
      <c r="F121" s="1"/>
      <c r="G121" s="1"/>
    </row>
    <row r="122">
      <c r="A122" s="72"/>
      <c r="B122" s="26" t="str">
        <f>HYPERLINK("https://isogg.org/tree/","Main Page")</f>
        <v>Main Page</v>
      </c>
      <c r="C122" s="1"/>
      <c r="D122" s="1"/>
      <c r="E122" s="1"/>
      <c r="F122" s="1"/>
      <c r="G122" s="1"/>
    </row>
    <row r="123">
      <c r="A123" s="72"/>
      <c r="B123" s="73" t="str">
        <f>HYPERLINK("https://docs.google.com/spreadsheets/d/1Y0GXjhazYa46u0EpPA9b0Y0RVWuh5lDzww_o979mbjQ/edit#gid=1904113265","Y-DNA Tree Trunk")</f>
        <v>Y-DNA Tree Trunk</v>
      </c>
      <c r="C123" s="1"/>
      <c r="D123" s="1"/>
      <c r="E123" s="1"/>
      <c r="F123" s="1"/>
      <c r="G123" s="1"/>
    </row>
    <row r="124">
      <c r="A124" s="72"/>
      <c r="B124" s="26" t="str">
        <f>HYPERLINK("https://isogg.org/tree/ISOGG_YDNA_SNP_Index.html","SNP Index")</f>
        <v>SNP Index</v>
      </c>
      <c r="C124" s="1"/>
      <c r="D124" s="1"/>
      <c r="E124" s="1"/>
      <c r="F124" s="1"/>
      <c r="G124" s="1"/>
    </row>
    <row r="125">
      <c r="A125" s="72"/>
      <c r="B125" s="74" t="str">
        <f>HYPERLINK("https://isogg.org/tree/ISOGG_All_Papers.html","Papers/Prentations Cited")</f>
        <v>Papers/Prentations Cited</v>
      </c>
      <c r="C125" s="14"/>
      <c r="D125" s="1"/>
      <c r="E125" s="1"/>
      <c r="F125" s="1"/>
      <c r="G125" s="1"/>
    </row>
    <row r="126">
      <c r="A126" s="72"/>
      <c r="B126" s="26" t="str">
        <f>HYPERLINK("https://isogg.org/tree/ISOGG_Glossary.html","Glossary")</f>
        <v>Glossary</v>
      </c>
      <c r="C126" s="1"/>
      <c r="D126" s="1"/>
      <c r="E126" s="1"/>
      <c r="F126" s="1"/>
      <c r="G126" s="1"/>
    </row>
    <row r="127">
      <c r="A127" s="72"/>
      <c r="B127" s="73" t="str">
        <f>HYPERLINK("https://docs.google.com/spreadsheets/d/1yjXfo8_vfVNzp-yfYoBQLQK8gzqJg5nNtuTTD1RrFS4/edit#gid=0","Listing Criteria")</f>
        <v>Listing Criteria</v>
      </c>
      <c r="C127" s="1"/>
      <c r="D127" s="1"/>
      <c r="E127" s="1"/>
      <c r="F127" s="1"/>
      <c r="G127" s="1"/>
    </row>
    <row r="128">
      <c r="A128" s="1"/>
      <c r="B128" s="1"/>
      <c r="C128" s="1"/>
      <c r="D128" s="1"/>
      <c r="E128" s="1"/>
      <c r="F128" s="1"/>
      <c r="G128" s="1"/>
    </row>
    <row r="129">
      <c r="A129" s="75" t="s">
        <v>154</v>
      </c>
      <c r="B129" s="14"/>
      <c r="C129" s="14"/>
      <c r="D129" s="14"/>
      <c r="E129" s="14"/>
      <c r="F129" s="14"/>
      <c r="G129" s="1"/>
    </row>
    <row r="132">
      <c r="D132" s="15"/>
    </row>
    <row r="133">
      <c r="E133" s="76" t="s">
        <v>155</v>
      </c>
      <c r="F133" s="77"/>
      <c r="G133" s="78"/>
    </row>
    <row r="135">
      <c r="A135" s="79" t="s">
        <v>156</v>
      </c>
      <c r="B135" s="14"/>
      <c r="C135" s="14"/>
      <c r="D135" s="14"/>
      <c r="E135" s="14"/>
      <c r="F135" s="14"/>
      <c r="G135" s="14"/>
      <c r="H135" s="14"/>
      <c r="I135" s="1"/>
      <c r="J135" s="1"/>
      <c r="K135" s="1"/>
      <c r="L135" s="1"/>
      <c r="M135" s="1"/>
      <c r="N135" s="1"/>
      <c r="O135" s="1"/>
      <c r="P135" s="1"/>
      <c r="Q135" s="1"/>
      <c r="R135" s="1"/>
      <c r="S135" s="1"/>
      <c r="T135" s="1"/>
      <c r="U135" s="1"/>
      <c r="V135" s="1"/>
      <c r="W135" s="1"/>
      <c r="X135" s="1"/>
      <c r="Y135" s="1"/>
      <c r="Z135" s="1"/>
      <c r="AA135" s="1"/>
    </row>
    <row r="136">
      <c r="A136" s="80"/>
      <c r="B136" s="81" t="s">
        <v>157</v>
      </c>
      <c r="C136" s="81" t="s">
        <v>158</v>
      </c>
      <c r="D136" s="82" t="s">
        <v>159</v>
      </c>
      <c r="E136" s="82" t="s">
        <v>160</v>
      </c>
      <c r="F136" s="82" t="s">
        <v>161</v>
      </c>
      <c r="G136" s="82" t="s">
        <v>162</v>
      </c>
      <c r="H136" s="81" t="s">
        <v>163</v>
      </c>
      <c r="I136" s="83"/>
      <c r="J136" s="83"/>
      <c r="K136" s="83"/>
      <c r="L136" s="83"/>
      <c r="M136" s="83"/>
      <c r="N136" s="83"/>
      <c r="O136" s="83"/>
      <c r="P136" s="83"/>
      <c r="Q136" s="83"/>
      <c r="R136" s="83"/>
      <c r="S136" s="83"/>
      <c r="T136" s="83"/>
      <c r="U136" s="83"/>
      <c r="V136" s="83"/>
      <c r="W136" s="83"/>
      <c r="X136" s="83"/>
      <c r="Y136" s="83"/>
      <c r="Z136" s="83"/>
      <c r="AA136" s="83"/>
    </row>
    <row r="137">
      <c r="A137" s="55"/>
      <c r="B137" s="15" t="s">
        <v>164</v>
      </c>
      <c r="C137" s="15" t="str">
        <f>A26</f>
        <v>M</v>
      </c>
      <c r="F137" s="84">
        <v>8685231.0</v>
      </c>
      <c r="G137" s="84">
        <v>8817190.0</v>
      </c>
      <c r="H137" s="85" t="s">
        <v>165</v>
      </c>
    </row>
    <row r="138">
      <c r="A138" s="55"/>
      <c r="B138" s="15" t="s">
        <v>166</v>
      </c>
      <c r="C138" t="str">
        <f>A26</f>
        <v>M</v>
      </c>
      <c r="D138" s="15" t="s">
        <v>167</v>
      </c>
      <c r="E138" s="86" t="s">
        <v>168</v>
      </c>
      <c r="F138" s="84">
        <v>1.5481435E7</v>
      </c>
      <c r="G138" s="84">
        <v>1.3369555E7</v>
      </c>
      <c r="H138" s="85" t="s">
        <v>169</v>
      </c>
    </row>
    <row r="139">
      <c r="A139" s="55"/>
      <c r="B139" s="15" t="s">
        <v>167</v>
      </c>
      <c r="C139" t="str">
        <f>A26</f>
        <v>M</v>
      </c>
      <c r="D139" s="15" t="s">
        <v>166</v>
      </c>
      <c r="E139" s="86" t="s">
        <v>168</v>
      </c>
      <c r="F139" s="84">
        <v>1.5481435E7</v>
      </c>
      <c r="G139" s="84">
        <v>1.3369555E7</v>
      </c>
      <c r="H139" s="85" t="s">
        <v>169</v>
      </c>
    </row>
    <row r="140">
      <c r="A140" s="66"/>
      <c r="B140" s="66" t="s">
        <v>170</v>
      </c>
      <c r="C140" t="str">
        <f>B27</f>
        <v>M1</v>
      </c>
      <c r="D140" s="66" t="s">
        <v>4</v>
      </c>
      <c r="E140" t="s">
        <v>171</v>
      </c>
      <c r="F140">
        <v>2744628.0</v>
      </c>
      <c r="G140">
        <v>2876587.0</v>
      </c>
      <c r="H140" s="85" t="s">
        <v>172</v>
      </c>
    </row>
    <row r="141">
      <c r="A141" s="66"/>
      <c r="B141" s="66" t="s">
        <v>173</v>
      </c>
      <c r="C141" t="str">
        <f>B27</f>
        <v>M1</v>
      </c>
      <c r="E141" s="66" t="s">
        <v>174</v>
      </c>
      <c r="F141">
        <v>1.7437224E7</v>
      </c>
      <c r="G141">
        <v>1.5325344E7</v>
      </c>
      <c r="H141" s="85" t="s">
        <v>175</v>
      </c>
    </row>
    <row r="142">
      <c r="A142" s="66"/>
      <c r="B142" s="66" t="s">
        <v>176</v>
      </c>
      <c r="C142" t="str">
        <f>B27</f>
        <v>M1</v>
      </c>
      <c r="F142">
        <v>1.0007406E7</v>
      </c>
      <c r="G142">
        <v>1.0169797E7</v>
      </c>
      <c r="H142" s="85" t="s">
        <v>177</v>
      </c>
    </row>
    <row r="143">
      <c r="A143" s="66"/>
      <c r="B143" s="66" t="s">
        <v>178</v>
      </c>
      <c r="C143" t="str">
        <f>B27</f>
        <v>M1</v>
      </c>
      <c r="D143" s="66" t="s">
        <v>179</v>
      </c>
      <c r="E143" t="s">
        <v>180</v>
      </c>
      <c r="F143">
        <v>2.1609946E7</v>
      </c>
      <c r="G143">
        <v>1.944806E7</v>
      </c>
      <c r="H143" s="85" t="s">
        <v>177</v>
      </c>
    </row>
    <row r="144">
      <c r="A144" s="66"/>
      <c r="B144" s="66" t="s">
        <v>179</v>
      </c>
      <c r="C144" t="str">
        <f>B27</f>
        <v>M1</v>
      </c>
      <c r="D144" s="66" t="s">
        <v>178</v>
      </c>
      <c r="E144" t="s">
        <v>180</v>
      </c>
      <c r="F144">
        <v>2.1609946E7</v>
      </c>
      <c r="G144">
        <v>1.944806E7</v>
      </c>
      <c r="H144" s="85" t="s">
        <v>177</v>
      </c>
    </row>
    <row r="145">
      <c r="A145" s="66"/>
      <c r="B145" s="66" t="s">
        <v>181</v>
      </c>
      <c r="C145" t="str">
        <f>B27</f>
        <v>M1</v>
      </c>
      <c r="E145" t="s">
        <v>182</v>
      </c>
      <c r="F145">
        <v>2.1866424E7</v>
      </c>
      <c r="G145">
        <v>1.9704538E7</v>
      </c>
      <c r="H145" s="85" t="s">
        <v>175</v>
      </c>
    </row>
    <row r="146">
      <c r="A146" s="66"/>
      <c r="B146" s="66" t="s">
        <v>183</v>
      </c>
      <c r="C146" t="str">
        <f>B27</f>
        <v>M1</v>
      </c>
      <c r="E146" t="s">
        <v>184</v>
      </c>
      <c r="F146">
        <v>1.4945705E7</v>
      </c>
      <c r="G146">
        <v>1.2833779E7</v>
      </c>
      <c r="H146" s="85" t="s">
        <v>169</v>
      </c>
    </row>
    <row r="147">
      <c r="A147" s="66"/>
      <c r="B147" s="66" t="s">
        <v>185</v>
      </c>
      <c r="C147" t="str">
        <f>B27</f>
        <v>M1</v>
      </c>
      <c r="E147" t="s">
        <v>186</v>
      </c>
      <c r="F147">
        <v>2.2745121E7</v>
      </c>
      <c r="G147">
        <v>2.0583235E7</v>
      </c>
      <c r="H147" s="85" t="s">
        <v>177</v>
      </c>
    </row>
    <row r="148">
      <c r="A148" s="66"/>
      <c r="B148" s="66" t="s">
        <v>187</v>
      </c>
      <c r="C148" t="str">
        <f>B27</f>
        <v>M1</v>
      </c>
      <c r="E148" t="s">
        <v>188</v>
      </c>
      <c r="F148">
        <v>6736812.0</v>
      </c>
      <c r="G148">
        <v>6868771.0</v>
      </c>
      <c r="H148" s="85" t="s">
        <v>169</v>
      </c>
    </row>
    <row r="149">
      <c r="A149" s="66"/>
      <c r="B149" s="66" t="s">
        <v>189</v>
      </c>
      <c r="C149" t="str">
        <f>B27</f>
        <v>M1</v>
      </c>
      <c r="E149" t="s">
        <v>190</v>
      </c>
      <c r="F149">
        <v>1.9152655E7</v>
      </c>
      <c r="G149">
        <v>1.7040775E7</v>
      </c>
      <c r="H149" s="85" t="s">
        <v>172</v>
      </c>
    </row>
    <row r="150">
      <c r="A150" s="66"/>
      <c r="B150" s="66" t="s">
        <v>191</v>
      </c>
      <c r="C150" t="str">
        <f>B27</f>
        <v>M1</v>
      </c>
      <c r="E150" t="s">
        <v>192</v>
      </c>
      <c r="F150">
        <v>1.7392059E7</v>
      </c>
      <c r="G150">
        <v>1.5280179E7</v>
      </c>
      <c r="H150" s="85" t="s">
        <v>165</v>
      </c>
    </row>
    <row r="151">
      <c r="A151" s="66"/>
      <c r="B151" s="66" t="s">
        <v>193</v>
      </c>
      <c r="C151" t="str">
        <f>B27</f>
        <v>M1</v>
      </c>
      <c r="F151">
        <v>8630327.0</v>
      </c>
      <c r="G151">
        <v>8762286.0</v>
      </c>
      <c r="H151" s="85" t="s">
        <v>165</v>
      </c>
    </row>
    <row r="152">
      <c r="A152" s="66"/>
      <c r="B152" s="66" t="s">
        <v>194</v>
      </c>
      <c r="C152" t="str">
        <f>B27</f>
        <v>M1</v>
      </c>
      <c r="F152">
        <v>2.1685085E7</v>
      </c>
      <c r="G152">
        <v>1.9523199E7</v>
      </c>
      <c r="H152" s="85" t="s">
        <v>165</v>
      </c>
    </row>
    <row r="153">
      <c r="A153" s="66"/>
      <c r="B153" s="66" t="s">
        <v>195</v>
      </c>
      <c r="C153" t="str">
        <f>B27</f>
        <v>M1</v>
      </c>
      <c r="E153" s="66" t="s">
        <v>196</v>
      </c>
      <c r="F153">
        <v>6940886.0</v>
      </c>
      <c r="G153">
        <v>7072845.0</v>
      </c>
      <c r="H153" s="85" t="s">
        <v>177</v>
      </c>
    </row>
    <row r="154">
      <c r="A154" s="66"/>
      <c r="B154" s="66" t="s">
        <v>197</v>
      </c>
      <c r="C154" t="str">
        <f>B27</f>
        <v>M1</v>
      </c>
      <c r="F154">
        <v>1.8713579E7</v>
      </c>
      <c r="G154">
        <v>1.6601699E7</v>
      </c>
      <c r="H154" s="85" t="s">
        <v>177</v>
      </c>
    </row>
    <row r="155">
      <c r="A155" s="66"/>
      <c r="B155" s="66" t="s">
        <v>198</v>
      </c>
      <c r="C155" t="str">
        <f>B27</f>
        <v>M1</v>
      </c>
      <c r="F155">
        <v>1.9165242E7</v>
      </c>
      <c r="G155">
        <v>1.7053362E7</v>
      </c>
      <c r="H155" s="85" t="s">
        <v>169</v>
      </c>
    </row>
    <row r="156">
      <c r="A156" s="66"/>
      <c r="B156" s="66" t="s">
        <v>199</v>
      </c>
      <c r="C156" t="str">
        <f>B27</f>
        <v>M1</v>
      </c>
      <c r="E156" s="66" t="s">
        <v>200</v>
      </c>
      <c r="F156">
        <v>1.6174669E7</v>
      </c>
      <c r="G156">
        <v>1.4062789E7</v>
      </c>
      <c r="H156" s="85" t="s">
        <v>172</v>
      </c>
    </row>
    <row r="157">
      <c r="A157" s="66"/>
      <c r="B157" s="66" t="s">
        <v>201</v>
      </c>
      <c r="C157" t="str">
        <f>B27</f>
        <v>M1</v>
      </c>
      <c r="F157">
        <v>1.4945506E7</v>
      </c>
      <c r="G157">
        <v>1.283358E7</v>
      </c>
      <c r="H157" s="85" t="s">
        <v>165</v>
      </c>
    </row>
    <row r="158">
      <c r="A158" s="66"/>
      <c r="B158" s="66" t="s">
        <v>202</v>
      </c>
      <c r="C158" t="str">
        <f>B27</f>
        <v>M1</v>
      </c>
      <c r="F158">
        <v>1.7077435E7</v>
      </c>
      <c r="G158">
        <v>1.4965555E7</v>
      </c>
      <c r="H158" s="85" t="s">
        <v>177</v>
      </c>
    </row>
    <row r="159">
      <c r="A159" s="66"/>
      <c r="B159" s="66" t="s">
        <v>203</v>
      </c>
      <c r="C159" t="str">
        <f>B27</f>
        <v>M1</v>
      </c>
      <c r="F159">
        <v>1.7844264E7</v>
      </c>
      <c r="G159">
        <v>1.5732384E7</v>
      </c>
      <c r="H159" s="85" t="s">
        <v>177</v>
      </c>
    </row>
    <row r="160">
      <c r="A160" s="66"/>
      <c r="B160" s="66" t="s">
        <v>204</v>
      </c>
      <c r="C160" t="str">
        <f>B27</f>
        <v>M1</v>
      </c>
      <c r="F160">
        <v>1.7961809E7</v>
      </c>
      <c r="G160">
        <v>1.5849929E7</v>
      </c>
      <c r="H160" s="85" t="s">
        <v>175</v>
      </c>
    </row>
    <row r="161">
      <c r="A161" s="66"/>
      <c r="B161" s="66" t="s">
        <v>205</v>
      </c>
      <c r="C161" t="str">
        <f>B27</f>
        <v>M1</v>
      </c>
      <c r="F161">
        <v>1.8679291E7</v>
      </c>
      <c r="G161">
        <v>1.6567411E7</v>
      </c>
      <c r="H161" s="85" t="s">
        <v>165</v>
      </c>
    </row>
    <row r="162">
      <c r="A162" s="66"/>
      <c r="B162" s="66" t="s">
        <v>206</v>
      </c>
      <c r="C162" t="str">
        <f>B27</f>
        <v>M1</v>
      </c>
      <c r="F162">
        <v>1.4788335E7</v>
      </c>
      <c r="G162">
        <v>1.2676406E7</v>
      </c>
      <c r="H162" s="85" t="s">
        <v>169</v>
      </c>
    </row>
    <row r="163">
      <c r="A163" s="66"/>
      <c r="B163" s="66" t="s">
        <v>207</v>
      </c>
      <c r="C163" t="str">
        <f>B27</f>
        <v>M1</v>
      </c>
      <c r="D163" s="66" t="s">
        <v>208</v>
      </c>
      <c r="E163" t="s">
        <v>209</v>
      </c>
      <c r="F163">
        <v>8432768.0</v>
      </c>
      <c r="G163">
        <v>8564727.0</v>
      </c>
      <c r="H163" s="85" t="s">
        <v>165</v>
      </c>
    </row>
    <row r="164">
      <c r="A164" s="66"/>
      <c r="B164" s="66" t="s">
        <v>208</v>
      </c>
      <c r="C164" t="str">
        <f>B27</f>
        <v>M1</v>
      </c>
      <c r="D164" s="66" t="s">
        <v>207</v>
      </c>
      <c r="E164" t="s">
        <v>209</v>
      </c>
      <c r="F164">
        <v>8432768.0</v>
      </c>
      <c r="G164">
        <v>8564727.0</v>
      </c>
      <c r="H164" s="85" t="s">
        <v>165</v>
      </c>
    </row>
    <row r="165">
      <c r="A165" s="66"/>
      <c r="B165" s="66" t="s">
        <v>210</v>
      </c>
      <c r="C165" t="str">
        <f>B27</f>
        <v>M1</v>
      </c>
      <c r="D165" s="66" t="s">
        <v>4</v>
      </c>
      <c r="F165">
        <v>1.4976854E7</v>
      </c>
      <c r="G165">
        <v>1.2864929E7</v>
      </c>
      <c r="H165" s="85" t="s">
        <v>177</v>
      </c>
    </row>
    <row r="166">
      <c r="A166" s="66"/>
      <c r="B166" s="66" t="s">
        <v>211</v>
      </c>
      <c r="C166" t="str">
        <f>B27</f>
        <v>M1</v>
      </c>
      <c r="D166" s="66" t="s">
        <v>212</v>
      </c>
      <c r="F166">
        <v>1.4010417E7</v>
      </c>
      <c r="G166">
        <v>1.1889711E7</v>
      </c>
      <c r="H166" s="87" t="s">
        <v>165</v>
      </c>
    </row>
    <row r="167">
      <c r="A167" s="66"/>
      <c r="B167" t="s">
        <v>212</v>
      </c>
      <c r="C167" t="str">
        <f>B27</f>
        <v>M1</v>
      </c>
      <c r="D167" s="66" t="s">
        <v>211</v>
      </c>
      <c r="F167">
        <v>1.4010417E7</v>
      </c>
      <c r="G167">
        <v>1.1889711E7</v>
      </c>
      <c r="H167" s="87" t="s">
        <v>165</v>
      </c>
    </row>
    <row r="168">
      <c r="A168" s="66"/>
      <c r="B168" s="66" t="s">
        <v>213</v>
      </c>
      <c r="C168" t="str">
        <f>B27</f>
        <v>M1</v>
      </c>
      <c r="D168" s="66" t="s">
        <v>214</v>
      </c>
      <c r="F168">
        <v>1.5501203E7</v>
      </c>
      <c r="G168">
        <v>1.3389323E7</v>
      </c>
      <c r="H168" s="87" t="s">
        <v>169</v>
      </c>
    </row>
    <row r="169">
      <c r="A169" s="66"/>
      <c r="B169" s="66" t="s">
        <v>214</v>
      </c>
      <c r="C169" t="str">
        <f>B27</f>
        <v>M1</v>
      </c>
      <c r="D169" s="66" t="s">
        <v>213</v>
      </c>
      <c r="F169">
        <v>1.5501203E7</v>
      </c>
      <c r="G169">
        <v>1.3389323E7</v>
      </c>
      <c r="H169" s="87" t="s">
        <v>169</v>
      </c>
    </row>
    <row r="170">
      <c r="A170" s="66"/>
      <c r="B170" s="66" t="s">
        <v>215</v>
      </c>
      <c r="C170" t="str">
        <f>B27</f>
        <v>M1</v>
      </c>
      <c r="D170" s="66" t="s">
        <v>216</v>
      </c>
      <c r="F170" s="66">
        <v>1.9563479E7</v>
      </c>
      <c r="G170" s="66">
        <v>1.7451599E7</v>
      </c>
      <c r="H170" s="88" t="s">
        <v>217</v>
      </c>
    </row>
    <row r="171">
      <c r="A171" s="66"/>
      <c r="B171" t="s">
        <v>216</v>
      </c>
      <c r="C171" t="str">
        <f>B27</f>
        <v>M1</v>
      </c>
      <c r="D171" s="66" t="s">
        <v>215</v>
      </c>
      <c r="F171" s="66">
        <v>1.9563479E7</v>
      </c>
      <c r="G171" s="66">
        <v>1.7451599E7</v>
      </c>
      <c r="H171" s="88" t="s">
        <v>217</v>
      </c>
    </row>
    <row r="172">
      <c r="A172" s="66"/>
      <c r="B172" s="66" t="s">
        <v>218</v>
      </c>
      <c r="C172" t="str">
        <f>B27</f>
        <v>M1</v>
      </c>
      <c r="D172" s="66" t="s">
        <v>219</v>
      </c>
      <c r="F172">
        <v>2.2678773E7</v>
      </c>
      <c r="G172">
        <v>2.0516887E7</v>
      </c>
      <c r="H172" s="87" t="s">
        <v>165</v>
      </c>
    </row>
    <row r="173">
      <c r="A173" s="66"/>
      <c r="B173" t="s">
        <v>219</v>
      </c>
      <c r="C173" t="str">
        <f>B27</f>
        <v>M1</v>
      </c>
      <c r="D173" s="66" t="s">
        <v>218</v>
      </c>
      <c r="F173">
        <v>2.2678773E7</v>
      </c>
      <c r="G173">
        <v>2.0516887E7</v>
      </c>
      <c r="H173" s="87" t="s">
        <v>165</v>
      </c>
    </row>
    <row r="174">
      <c r="A174" s="66"/>
      <c r="B174" s="66" t="s">
        <v>220</v>
      </c>
      <c r="C174" t="str">
        <f>B27</f>
        <v>M1</v>
      </c>
      <c r="D174" s="15" t="s">
        <v>221</v>
      </c>
      <c r="F174" s="15">
        <v>2.272971E7</v>
      </c>
      <c r="G174" s="15">
        <v>2.0567824E7</v>
      </c>
      <c r="H174" s="89" t="s">
        <v>222</v>
      </c>
    </row>
    <row r="175">
      <c r="A175" s="66"/>
      <c r="B175" s="15" t="s">
        <v>221</v>
      </c>
      <c r="C175" t="str">
        <f>B27</f>
        <v>M1</v>
      </c>
      <c r="D175" s="66" t="s">
        <v>220</v>
      </c>
      <c r="F175" s="15">
        <v>2.272971E7</v>
      </c>
      <c r="G175" s="15">
        <v>2.0567824E7</v>
      </c>
      <c r="H175" s="89" t="s">
        <v>222</v>
      </c>
    </row>
    <row r="176">
      <c r="A176" s="66"/>
      <c r="B176" s="66" t="s">
        <v>223</v>
      </c>
      <c r="C176" t="str">
        <f>B27</f>
        <v>M1</v>
      </c>
      <c r="D176" s="66" t="s">
        <v>224</v>
      </c>
      <c r="F176" s="90">
        <v>2.4493037E7</v>
      </c>
      <c r="G176" s="90">
        <v>2.234689E7</v>
      </c>
      <c r="H176" s="91" t="s">
        <v>225</v>
      </c>
    </row>
    <row r="177">
      <c r="A177" s="66"/>
      <c r="B177" t="s">
        <v>224</v>
      </c>
      <c r="C177" t="str">
        <f>B27</f>
        <v>M1</v>
      </c>
      <c r="D177" s="66" t="s">
        <v>223</v>
      </c>
      <c r="F177" s="90">
        <v>2.4493037E7</v>
      </c>
      <c r="G177" s="90">
        <v>2.234689E7</v>
      </c>
      <c r="H177" s="91" t="s">
        <v>225</v>
      </c>
    </row>
    <row r="178">
      <c r="A178" s="66"/>
      <c r="B178" s="66" t="s">
        <v>226</v>
      </c>
      <c r="C178" t="str">
        <f>B27</f>
        <v>M1</v>
      </c>
      <c r="D178" s="66" t="s">
        <v>227</v>
      </c>
      <c r="F178">
        <v>6595053.0</v>
      </c>
      <c r="G178">
        <v>6727012.0</v>
      </c>
      <c r="H178" s="87" t="s">
        <v>172</v>
      </c>
    </row>
    <row r="179">
      <c r="A179" s="66"/>
      <c r="B179" t="s">
        <v>227</v>
      </c>
      <c r="C179" t="str">
        <f>B27</f>
        <v>M1</v>
      </c>
      <c r="D179" s="66" t="s">
        <v>226</v>
      </c>
      <c r="F179">
        <v>6595053.0</v>
      </c>
      <c r="G179">
        <v>6727012.0</v>
      </c>
      <c r="H179" s="92" t="s">
        <v>172</v>
      </c>
    </row>
    <row r="180">
      <c r="A180" s="66"/>
      <c r="B180" s="66" t="s">
        <v>228</v>
      </c>
      <c r="C180" t="str">
        <f>B27</f>
        <v>M1</v>
      </c>
      <c r="D180" s="66" t="s">
        <v>229</v>
      </c>
      <c r="F180">
        <v>1.6333594E7</v>
      </c>
      <c r="G180">
        <v>1.4221714E7</v>
      </c>
      <c r="H180" s="87" t="s">
        <v>172</v>
      </c>
    </row>
    <row r="181">
      <c r="A181" s="66"/>
      <c r="B181" t="s">
        <v>229</v>
      </c>
      <c r="C181" t="str">
        <f>B27</f>
        <v>M1</v>
      </c>
      <c r="D181" s="66" t="s">
        <v>228</v>
      </c>
      <c r="F181">
        <v>1.6333594E7</v>
      </c>
      <c r="G181">
        <v>1.4221714E7</v>
      </c>
      <c r="H181" s="87" t="s">
        <v>172</v>
      </c>
    </row>
    <row r="182">
      <c r="A182" s="66"/>
      <c r="B182" s="66" t="s">
        <v>230</v>
      </c>
      <c r="C182" t="str">
        <f>B27</f>
        <v>M1</v>
      </c>
      <c r="D182" s="66" t="s">
        <v>231</v>
      </c>
      <c r="F182" s="66">
        <v>1.7596363E7</v>
      </c>
      <c r="G182" s="66">
        <v>1.5484483E7</v>
      </c>
      <c r="H182" s="88" t="s">
        <v>175</v>
      </c>
    </row>
    <row r="183">
      <c r="A183" s="66"/>
      <c r="B183" t="s">
        <v>231</v>
      </c>
      <c r="C183" t="str">
        <f>B27</f>
        <v>M1</v>
      </c>
      <c r="D183" s="66" t="s">
        <v>230</v>
      </c>
      <c r="F183" s="66">
        <v>1.7596363E7</v>
      </c>
      <c r="G183" s="66">
        <v>1.5484483E7</v>
      </c>
      <c r="H183" s="88" t="s">
        <v>175</v>
      </c>
    </row>
    <row r="184">
      <c r="A184" s="66"/>
      <c r="B184" s="66" t="s">
        <v>232</v>
      </c>
      <c r="C184" t="str">
        <f>B27</f>
        <v>M1</v>
      </c>
      <c r="F184">
        <v>1.43469E7</v>
      </c>
      <c r="G184">
        <v>1.2226195E7</v>
      </c>
      <c r="H184" s="87" t="s">
        <v>177</v>
      </c>
    </row>
    <row r="185">
      <c r="A185" s="66"/>
      <c r="B185" s="66" t="s">
        <v>233</v>
      </c>
      <c r="C185" t="str">
        <f>B27</f>
        <v>M1</v>
      </c>
      <c r="F185">
        <v>2854695.0</v>
      </c>
      <c r="G185">
        <v>2986654.0</v>
      </c>
      <c r="H185" s="87" t="s">
        <v>234</v>
      </c>
    </row>
    <row r="186">
      <c r="A186" s="66"/>
      <c r="B186" s="66" t="s">
        <v>235</v>
      </c>
      <c r="C186" t="str">
        <f>B27</f>
        <v>M1</v>
      </c>
      <c r="D186" s="66" t="s">
        <v>4</v>
      </c>
      <c r="F186">
        <v>2859636.0</v>
      </c>
      <c r="G186">
        <v>2991595.0</v>
      </c>
      <c r="H186" s="87" t="s">
        <v>177</v>
      </c>
    </row>
    <row r="187">
      <c r="A187" s="66"/>
      <c r="B187" s="66" t="s">
        <v>236</v>
      </c>
      <c r="C187" t="str">
        <f>B27</f>
        <v>M1</v>
      </c>
      <c r="F187">
        <v>2865710.0</v>
      </c>
      <c r="G187">
        <v>2997669.0</v>
      </c>
      <c r="H187" s="87" t="s">
        <v>177</v>
      </c>
    </row>
    <row r="188">
      <c r="A188" s="66"/>
      <c r="B188" s="66" t="s">
        <v>237</v>
      </c>
      <c r="C188" t="str">
        <f>B27</f>
        <v>M1</v>
      </c>
      <c r="F188" s="66">
        <v>6619307.0</v>
      </c>
      <c r="G188" s="66">
        <v>6751266.0</v>
      </c>
      <c r="H188" s="89" t="s">
        <v>225</v>
      </c>
    </row>
    <row r="189">
      <c r="A189" s="66"/>
      <c r="B189" s="66" t="s">
        <v>238</v>
      </c>
      <c r="C189" t="str">
        <f>B27</f>
        <v>M1</v>
      </c>
      <c r="F189" s="66">
        <v>6662594.0</v>
      </c>
      <c r="G189" s="66">
        <v>6794553.0</v>
      </c>
      <c r="H189" s="89" t="s">
        <v>175</v>
      </c>
    </row>
    <row r="190">
      <c r="A190" s="66"/>
      <c r="B190" t="s">
        <v>239</v>
      </c>
      <c r="C190" t="str">
        <f>B27</f>
        <v>M1</v>
      </c>
      <c r="F190">
        <v>6679553.0</v>
      </c>
      <c r="G190">
        <v>6811512.0</v>
      </c>
      <c r="H190" s="87" t="s">
        <v>175</v>
      </c>
    </row>
    <row r="191">
      <c r="A191" s="66"/>
      <c r="B191" t="s">
        <v>240</v>
      </c>
      <c r="C191" t="str">
        <f>B27</f>
        <v>M1</v>
      </c>
      <c r="F191">
        <v>6689680.0</v>
      </c>
      <c r="G191">
        <v>6821639.0</v>
      </c>
      <c r="H191" s="87" t="s">
        <v>177</v>
      </c>
    </row>
    <row r="192">
      <c r="A192" s="66"/>
      <c r="B192" t="s">
        <v>241</v>
      </c>
      <c r="C192" t="str">
        <f>B27</f>
        <v>M1</v>
      </c>
      <c r="F192">
        <v>6706463.0</v>
      </c>
      <c r="G192">
        <v>6838422.0</v>
      </c>
      <c r="H192" s="87" t="s">
        <v>169</v>
      </c>
    </row>
    <row r="193">
      <c r="A193" s="66"/>
      <c r="B193" t="s">
        <v>242</v>
      </c>
      <c r="C193" t="str">
        <f>B27</f>
        <v>M1</v>
      </c>
      <c r="F193">
        <v>6748654.0</v>
      </c>
      <c r="G193">
        <v>6880613.0</v>
      </c>
      <c r="H193" s="87" t="s">
        <v>177</v>
      </c>
    </row>
    <row r="194">
      <c r="A194" s="66"/>
      <c r="B194" t="s">
        <v>243</v>
      </c>
      <c r="C194" t="str">
        <f>B27</f>
        <v>M1</v>
      </c>
      <c r="F194">
        <v>6795966.0</v>
      </c>
      <c r="G194">
        <v>6927925.0</v>
      </c>
      <c r="H194" s="87" t="s">
        <v>165</v>
      </c>
    </row>
    <row r="195">
      <c r="A195" s="66"/>
      <c r="B195" t="s">
        <v>244</v>
      </c>
      <c r="C195" t="str">
        <f>B27</f>
        <v>M1</v>
      </c>
      <c r="F195">
        <v>6815542.0</v>
      </c>
      <c r="G195">
        <v>6947501.0</v>
      </c>
      <c r="H195" s="87" t="s">
        <v>172</v>
      </c>
    </row>
    <row r="196">
      <c r="A196" s="66"/>
      <c r="B196" t="s">
        <v>245</v>
      </c>
      <c r="C196" t="str">
        <f>B27</f>
        <v>M1</v>
      </c>
      <c r="F196">
        <v>6827825.0</v>
      </c>
      <c r="G196">
        <v>6959784.0</v>
      </c>
      <c r="H196" s="87" t="s">
        <v>165</v>
      </c>
    </row>
    <row r="197">
      <c r="A197" s="66"/>
      <c r="B197" t="s">
        <v>246</v>
      </c>
      <c r="C197" t="str">
        <f>B27</f>
        <v>M1</v>
      </c>
      <c r="F197">
        <v>6886974.0</v>
      </c>
      <c r="G197">
        <v>7018933.0</v>
      </c>
      <c r="H197" s="87" t="s">
        <v>175</v>
      </c>
    </row>
    <row r="198">
      <c r="A198" s="66"/>
      <c r="B198" t="s">
        <v>247</v>
      </c>
      <c r="C198" t="str">
        <f>B27</f>
        <v>M1</v>
      </c>
      <c r="F198">
        <v>6909278.0</v>
      </c>
      <c r="G198">
        <v>7041237.0</v>
      </c>
      <c r="H198" s="87" t="s">
        <v>225</v>
      </c>
    </row>
    <row r="199">
      <c r="A199" s="66"/>
      <c r="B199" t="s">
        <v>248</v>
      </c>
      <c r="C199" t="str">
        <f>B27</f>
        <v>M1</v>
      </c>
      <c r="F199">
        <v>6912648.0</v>
      </c>
      <c r="G199">
        <v>7044607.0</v>
      </c>
      <c r="H199" s="87" t="s">
        <v>225</v>
      </c>
    </row>
    <row r="200">
      <c r="A200" s="66"/>
      <c r="B200" t="s">
        <v>249</v>
      </c>
      <c r="C200" t="str">
        <f>B27</f>
        <v>M1</v>
      </c>
      <c r="F200">
        <v>7008618.0</v>
      </c>
      <c r="G200">
        <v>7140577.0</v>
      </c>
      <c r="H200" s="87" t="s">
        <v>217</v>
      </c>
    </row>
    <row r="201">
      <c r="A201" s="66"/>
      <c r="B201" t="s">
        <v>250</v>
      </c>
      <c r="C201" t="str">
        <f>B27</f>
        <v>M1</v>
      </c>
      <c r="F201">
        <v>7053576.0</v>
      </c>
      <c r="G201">
        <v>7185535.0</v>
      </c>
      <c r="H201" s="87" t="s">
        <v>177</v>
      </c>
    </row>
    <row r="202">
      <c r="A202" s="66"/>
      <c r="B202" t="s">
        <v>251</v>
      </c>
      <c r="C202" t="str">
        <f>B27</f>
        <v>M1</v>
      </c>
      <c r="F202">
        <v>7078921.0</v>
      </c>
      <c r="G202">
        <v>7210880.0</v>
      </c>
      <c r="H202" s="87" t="s">
        <v>165</v>
      </c>
    </row>
    <row r="203">
      <c r="A203" s="66"/>
      <c r="B203" t="s">
        <v>252</v>
      </c>
      <c r="C203" t="str">
        <f>B27</f>
        <v>M1</v>
      </c>
      <c r="F203">
        <v>7131506.0</v>
      </c>
      <c r="G203">
        <v>7263465.0</v>
      </c>
      <c r="H203" s="87" t="s">
        <v>253</v>
      </c>
    </row>
    <row r="204">
      <c r="A204" s="66"/>
      <c r="B204" t="s">
        <v>254</v>
      </c>
      <c r="C204" t="str">
        <f>B27</f>
        <v>M1</v>
      </c>
      <c r="F204">
        <v>7306041.0</v>
      </c>
      <c r="G204">
        <v>7438000.0</v>
      </c>
      <c r="H204" s="87" t="s">
        <v>175</v>
      </c>
    </row>
    <row r="205">
      <c r="A205" s="66"/>
      <c r="B205" t="s">
        <v>255</v>
      </c>
      <c r="C205" t="str">
        <f>B27</f>
        <v>M1</v>
      </c>
      <c r="F205">
        <v>7326477.0</v>
      </c>
      <c r="G205">
        <v>7458436.0</v>
      </c>
      <c r="H205" s="87" t="s">
        <v>253</v>
      </c>
    </row>
    <row r="206">
      <c r="A206" s="66"/>
      <c r="B206" t="s">
        <v>256</v>
      </c>
      <c r="C206" t="str">
        <f>B27</f>
        <v>M1</v>
      </c>
      <c r="F206">
        <v>7364734.0</v>
      </c>
      <c r="G206">
        <v>7496693.0</v>
      </c>
      <c r="H206" s="87" t="s">
        <v>177</v>
      </c>
    </row>
    <row r="207">
      <c r="A207" s="66"/>
      <c r="B207" t="s">
        <v>257</v>
      </c>
      <c r="C207" t="str">
        <f>B27</f>
        <v>M1</v>
      </c>
      <c r="F207">
        <v>7386101.0</v>
      </c>
      <c r="G207">
        <v>7518060.0</v>
      </c>
      <c r="H207" s="87" t="s">
        <v>172</v>
      </c>
    </row>
    <row r="208">
      <c r="A208" s="66"/>
      <c r="B208" t="s">
        <v>258</v>
      </c>
      <c r="C208" t="str">
        <f>B27</f>
        <v>M1</v>
      </c>
      <c r="F208">
        <v>7389976.0</v>
      </c>
      <c r="G208">
        <v>7521935.0</v>
      </c>
      <c r="H208" s="87" t="s">
        <v>165</v>
      </c>
    </row>
    <row r="209">
      <c r="A209" s="66"/>
      <c r="B209" t="s">
        <v>259</v>
      </c>
      <c r="C209" t="str">
        <f>B27</f>
        <v>M1</v>
      </c>
      <c r="F209">
        <v>7395770.0</v>
      </c>
      <c r="G209">
        <v>7527729.0</v>
      </c>
      <c r="H209" s="87" t="s">
        <v>177</v>
      </c>
    </row>
    <row r="210">
      <c r="A210" s="66"/>
      <c r="B210" t="s">
        <v>260</v>
      </c>
      <c r="C210" t="str">
        <f>B27</f>
        <v>M1</v>
      </c>
      <c r="F210">
        <v>7401903.0</v>
      </c>
      <c r="G210">
        <v>7533862.0</v>
      </c>
      <c r="H210" s="87" t="s">
        <v>165</v>
      </c>
    </row>
    <row r="211">
      <c r="A211" s="66"/>
      <c r="B211" t="s">
        <v>261</v>
      </c>
      <c r="C211" t="str">
        <f>B27</f>
        <v>M1</v>
      </c>
      <c r="F211">
        <v>7405762.0</v>
      </c>
      <c r="G211">
        <v>7537721.0</v>
      </c>
      <c r="H211" s="87" t="s">
        <v>172</v>
      </c>
    </row>
    <row r="212">
      <c r="A212" s="66"/>
      <c r="B212" t="s">
        <v>262</v>
      </c>
      <c r="C212" t="str">
        <f>B27</f>
        <v>M1</v>
      </c>
      <c r="F212">
        <v>7557145.0</v>
      </c>
      <c r="G212">
        <v>7689104.0</v>
      </c>
      <c r="H212" s="87" t="s">
        <v>172</v>
      </c>
    </row>
    <row r="213">
      <c r="A213" s="66"/>
      <c r="B213" t="s">
        <v>263</v>
      </c>
      <c r="C213" t="str">
        <f>B27</f>
        <v>M1</v>
      </c>
      <c r="F213">
        <v>7664098.0</v>
      </c>
      <c r="G213">
        <v>7796057.0</v>
      </c>
      <c r="H213" s="87" t="s">
        <v>177</v>
      </c>
    </row>
    <row r="214">
      <c r="A214" s="66"/>
      <c r="B214" t="s">
        <v>264</v>
      </c>
      <c r="C214" t="str">
        <f>B27</f>
        <v>M1</v>
      </c>
      <c r="F214">
        <v>7750041.0</v>
      </c>
      <c r="G214">
        <v>7882000.0</v>
      </c>
      <c r="H214" s="87" t="s">
        <v>177</v>
      </c>
    </row>
    <row r="215">
      <c r="A215" s="66"/>
      <c r="B215" t="s">
        <v>265</v>
      </c>
      <c r="C215" t="str">
        <f>B27</f>
        <v>M1</v>
      </c>
      <c r="F215">
        <v>7789873.0</v>
      </c>
      <c r="G215">
        <v>7921832.0</v>
      </c>
      <c r="H215" s="87" t="s">
        <v>172</v>
      </c>
    </row>
    <row r="216">
      <c r="A216" s="66"/>
      <c r="B216" t="s">
        <v>266</v>
      </c>
      <c r="C216" t="str">
        <f>B27</f>
        <v>M1</v>
      </c>
      <c r="F216">
        <v>7794047.0</v>
      </c>
      <c r="G216">
        <v>7926006.0</v>
      </c>
      <c r="H216" s="87" t="s">
        <v>222</v>
      </c>
    </row>
    <row r="217">
      <c r="A217" s="66"/>
      <c r="B217" t="s">
        <v>267</v>
      </c>
      <c r="C217" t="str">
        <f>B27</f>
        <v>M1</v>
      </c>
      <c r="F217">
        <v>7826071.0</v>
      </c>
      <c r="G217">
        <v>7958030.0</v>
      </c>
      <c r="H217" s="87" t="s">
        <v>165</v>
      </c>
    </row>
    <row r="218">
      <c r="A218" s="66"/>
      <c r="B218" t="s">
        <v>268</v>
      </c>
      <c r="C218" t="str">
        <f>B27</f>
        <v>M1</v>
      </c>
      <c r="F218">
        <v>7844929.0</v>
      </c>
      <c r="G218">
        <v>7976888.0</v>
      </c>
      <c r="H218" s="87" t="s">
        <v>165</v>
      </c>
    </row>
    <row r="219">
      <c r="A219" s="66"/>
      <c r="B219" t="s">
        <v>269</v>
      </c>
      <c r="C219" t="str">
        <f>B27</f>
        <v>M1</v>
      </c>
      <c r="F219">
        <v>7992575.0</v>
      </c>
      <c r="G219">
        <v>8124534.0</v>
      </c>
      <c r="H219" s="87" t="s">
        <v>177</v>
      </c>
    </row>
    <row r="220">
      <c r="A220" s="66"/>
      <c r="B220" t="s">
        <v>270</v>
      </c>
      <c r="C220" t="str">
        <f>B27</f>
        <v>M1</v>
      </c>
      <c r="F220">
        <v>8101772.0</v>
      </c>
      <c r="G220">
        <v>8233731.0</v>
      </c>
      <c r="H220" s="87" t="s">
        <v>172</v>
      </c>
    </row>
    <row r="221">
      <c r="A221" s="66"/>
      <c r="B221" t="s">
        <v>271</v>
      </c>
      <c r="C221" t="str">
        <f>B27</f>
        <v>M1</v>
      </c>
      <c r="F221">
        <v>8684095.0</v>
      </c>
      <c r="G221">
        <v>8816054.0</v>
      </c>
      <c r="H221" s="87" t="s">
        <v>175</v>
      </c>
    </row>
    <row r="222">
      <c r="A222" s="66"/>
      <c r="B222" t="s">
        <v>272</v>
      </c>
      <c r="C222" t="str">
        <f>B27</f>
        <v>M1</v>
      </c>
      <c r="F222">
        <v>8755344.0</v>
      </c>
      <c r="G222">
        <v>8887303.0</v>
      </c>
      <c r="H222" s="87" t="s">
        <v>222</v>
      </c>
    </row>
    <row r="223">
      <c r="A223" s="66"/>
      <c r="B223" t="s">
        <v>273</v>
      </c>
      <c r="C223" t="str">
        <f>B27</f>
        <v>M1</v>
      </c>
      <c r="F223">
        <v>8789706.0</v>
      </c>
      <c r="G223">
        <v>8921665.0</v>
      </c>
      <c r="H223" s="87" t="s">
        <v>253</v>
      </c>
    </row>
    <row r="224">
      <c r="A224" s="66"/>
      <c r="B224" t="s">
        <v>274</v>
      </c>
      <c r="C224" t="str">
        <f>B27</f>
        <v>M1</v>
      </c>
      <c r="F224">
        <v>8846070.0</v>
      </c>
      <c r="G224">
        <v>8978029.0</v>
      </c>
      <c r="H224" s="87" t="s">
        <v>165</v>
      </c>
    </row>
    <row r="225">
      <c r="A225" s="66"/>
      <c r="B225" t="s">
        <v>275</v>
      </c>
      <c r="C225" t="str">
        <f>B27</f>
        <v>M1</v>
      </c>
      <c r="F225">
        <v>8858186.0</v>
      </c>
      <c r="G225">
        <v>8990145.0</v>
      </c>
      <c r="H225" s="87" t="s">
        <v>165</v>
      </c>
    </row>
    <row r="226">
      <c r="A226" s="66"/>
      <c r="B226" t="s">
        <v>276</v>
      </c>
      <c r="C226" t="str">
        <f>B27</f>
        <v>M1</v>
      </c>
      <c r="F226">
        <v>8881443.0</v>
      </c>
      <c r="G226">
        <v>9013402.0</v>
      </c>
      <c r="H226" s="87" t="s">
        <v>177</v>
      </c>
    </row>
    <row r="227">
      <c r="A227" s="66"/>
      <c r="B227" t="s">
        <v>277</v>
      </c>
      <c r="C227" t="str">
        <f>B27</f>
        <v>M1</v>
      </c>
      <c r="F227">
        <v>8893392.0</v>
      </c>
      <c r="G227">
        <v>9025351.0</v>
      </c>
      <c r="H227" s="87" t="s">
        <v>177</v>
      </c>
    </row>
    <row r="228">
      <c r="A228" s="66"/>
      <c r="B228" t="s">
        <v>278</v>
      </c>
      <c r="C228" t="str">
        <f>B27</f>
        <v>M1</v>
      </c>
      <c r="F228">
        <v>9391070.0</v>
      </c>
      <c r="G228">
        <v>9553461.0</v>
      </c>
      <c r="H228" s="87" t="s">
        <v>165</v>
      </c>
    </row>
    <row r="229">
      <c r="A229" s="66"/>
      <c r="B229" t="s">
        <v>279</v>
      </c>
      <c r="C229" t="str">
        <f>B27</f>
        <v>M1</v>
      </c>
      <c r="F229">
        <v>9392733.0</v>
      </c>
      <c r="G229">
        <v>9555124.0</v>
      </c>
      <c r="H229" s="87" t="s">
        <v>222</v>
      </c>
    </row>
    <row r="230">
      <c r="A230" s="66"/>
      <c r="B230" t="s">
        <v>280</v>
      </c>
      <c r="C230" t="str">
        <f>B27</f>
        <v>M1</v>
      </c>
      <c r="F230">
        <v>9400716.0</v>
      </c>
      <c r="G230">
        <v>9563107.0</v>
      </c>
      <c r="H230" s="87" t="s">
        <v>172</v>
      </c>
    </row>
    <row r="231">
      <c r="A231" s="66"/>
      <c r="B231" t="s">
        <v>281</v>
      </c>
      <c r="C231" t="str">
        <f>B27</f>
        <v>M1</v>
      </c>
      <c r="F231">
        <v>9644123.0</v>
      </c>
      <c r="G231">
        <v>9806514.0</v>
      </c>
      <c r="H231" s="87" t="s">
        <v>165</v>
      </c>
    </row>
    <row r="232">
      <c r="A232" s="66"/>
      <c r="B232" t="s">
        <v>282</v>
      </c>
      <c r="C232" t="str">
        <f>B27</f>
        <v>M1</v>
      </c>
      <c r="F232">
        <v>9817653.0</v>
      </c>
      <c r="G232">
        <v>9980044.0</v>
      </c>
      <c r="H232" s="87" t="s">
        <v>172</v>
      </c>
    </row>
    <row r="233">
      <c r="A233" s="66"/>
      <c r="B233" t="s">
        <v>283</v>
      </c>
      <c r="C233" t="str">
        <f>B27</f>
        <v>M1</v>
      </c>
      <c r="F233">
        <v>9823756.0</v>
      </c>
      <c r="G233">
        <v>9986147.0</v>
      </c>
      <c r="H233" s="87" t="s">
        <v>284</v>
      </c>
    </row>
    <row r="234">
      <c r="A234" s="66"/>
      <c r="B234" t="s">
        <v>285</v>
      </c>
      <c r="C234" t="str">
        <f>B27</f>
        <v>M1</v>
      </c>
      <c r="F234">
        <v>9833039.0</v>
      </c>
      <c r="G234">
        <v>9995430.0</v>
      </c>
      <c r="H234" s="87" t="s">
        <v>165</v>
      </c>
    </row>
    <row r="235">
      <c r="A235" s="66"/>
      <c r="B235" t="s">
        <v>286</v>
      </c>
      <c r="C235" t="str">
        <f>B27</f>
        <v>M1</v>
      </c>
      <c r="F235">
        <v>9885801.0</v>
      </c>
      <c r="G235">
        <v>1.0048192E7</v>
      </c>
      <c r="H235" s="87" t="s">
        <v>169</v>
      </c>
    </row>
    <row r="236">
      <c r="A236" s="66"/>
      <c r="B236" t="s">
        <v>287</v>
      </c>
      <c r="C236" t="str">
        <f>B27</f>
        <v>M1</v>
      </c>
      <c r="F236">
        <v>9887780.0</v>
      </c>
      <c r="G236">
        <v>1.0050171E7</v>
      </c>
      <c r="H236" s="89" t="s">
        <v>172</v>
      </c>
    </row>
    <row r="237">
      <c r="A237" s="66"/>
      <c r="B237" t="s">
        <v>288</v>
      </c>
      <c r="C237" t="str">
        <f>B27</f>
        <v>M1</v>
      </c>
      <c r="F237">
        <v>9918361.0</v>
      </c>
      <c r="G237">
        <v>1.0080752E7</v>
      </c>
      <c r="H237" s="87" t="s">
        <v>172</v>
      </c>
    </row>
    <row r="238">
      <c r="A238" s="66"/>
      <c r="B238" t="s">
        <v>289</v>
      </c>
      <c r="C238" t="str">
        <f>B27</f>
        <v>M1</v>
      </c>
      <c r="F238">
        <v>9926992.0</v>
      </c>
      <c r="G238">
        <v>1.0089383E7</v>
      </c>
      <c r="H238" s="87" t="s">
        <v>177</v>
      </c>
    </row>
    <row r="239">
      <c r="A239" s="66"/>
      <c r="B239" t="s">
        <v>290</v>
      </c>
      <c r="C239" t="str">
        <f>B27</f>
        <v>M1</v>
      </c>
      <c r="E239" s="66" t="s">
        <v>291</v>
      </c>
      <c r="F239">
        <v>1.0037299E7</v>
      </c>
      <c r="G239">
        <v>1.019969E7</v>
      </c>
      <c r="H239" s="87" t="s">
        <v>165</v>
      </c>
    </row>
    <row r="240">
      <c r="A240" s="66"/>
      <c r="B240" t="s">
        <v>292</v>
      </c>
      <c r="C240" t="str">
        <f>B27</f>
        <v>M1</v>
      </c>
      <c r="F240">
        <v>1.0080437E7</v>
      </c>
      <c r="G240">
        <v>1.0242828E7</v>
      </c>
      <c r="H240" s="87" t="s">
        <v>225</v>
      </c>
    </row>
    <row r="241">
      <c r="A241" s="66"/>
      <c r="B241" t="s">
        <v>293</v>
      </c>
      <c r="C241" t="str">
        <f>B27</f>
        <v>M1</v>
      </c>
      <c r="F241">
        <v>1.0082081E7</v>
      </c>
      <c r="G241">
        <v>1.0244472E7</v>
      </c>
      <c r="H241" s="87" t="s">
        <v>225</v>
      </c>
    </row>
    <row r="242">
      <c r="A242" s="66"/>
      <c r="B242" t="s">
        <v>294</v>
      </c>
      <c r="C242" t="str">
        <f>B27</f>
        <v>M1</v>
      </c>
      <c r="F242">
        <v>1.0082642E7</v>
      </c>
      <c r="G242">
        <v>1.0245033E7</v>
      </c>
      <c r="H242" s="87" t="s">
        <v>172</v>
      </c>
    </row>
    <row r="243">
      <c r="A243" s="66"/>
      <c r="B243" t="s">
        <v>295</v>
      </c>
      <c r="C243" t="str">
        <f>B27</f>
        <v>M1</v>
      </c>
      <c r="F243">
        <v>1.3607472E7</v>
      </c>
      <c r="G243">
        <v>1.1451796E7</v>
      </c>
      <c r="H243" s="87" t="s">
        <v>217</v>
      </c>
    </row>
    <row r="244">
      <c r="A244" s="66"/>
      <c r="B244" t="s">
        <v>296</v>
      </c>
      <c r="C244" t="str">
        <f>B27</f>
        <v>M1</v>
      </c>
      <c r="F244">
        <v>1.3651743E7</v>
      </c>
      <c r="G244">
        <v>1.1496067E7</v>
      </c>
      <c r="H244" s="87" t="s">
        <v>165</v>
      </c>
    </row>
    <row r="245">
      <c r="A245" s="66"/>
      <c r="B245" t="s">
        <v>297</v>
      </c>
      <c r="C245" t="str">
        <f>B27</f>
        <v>M1</v>
      </c>
      <c r="F245">
        <v>1.3653454E7</v>
      </c>
      <c r="G245">
        <v>1.1497778E7</v>
      </c>
      <c r="H245" s="87" t="s">
        <v>172</v>
      </c>
    </row>
    <row r="246">
      <c r="A246" s="66"/>
      <c r="B246" t="s">
        <v>298</v>
      </c>
      <c r="C246" t="str">
        <f>B27</f>
        <v>M1</v>
      </c>
      <c r="F246">
        <v>1.3654014E7</v>
      </c>
      <c r="G246">
        <v>1.1498338E7</v>
      </c>
      <c r="H246" s="87" t="s">
        <v>222</v>
      </c>
    </row>
    <row r="247">
      <c r="A247" s="66"/>
      <c r="B247" t="s">
        <v>299</v>
      </c>
      <c r="C247" t="str">
        <f>B27</f>
        <v>M1</v>
      </c>
      <c r="F247">
        <v>1.3667892E7</v>
      </c>
      <c r="G247">
        <v>1.1512216E7</v>
      </c>
      <c r="H247" s="87" t="s">
        <v>225</v>
      </c>
    </row>
    <row r="248">
      <c r="A248" s="66"/>
      <c r="B248" t="s">
        <v>300</v>
      </c>
      <c r="C248" t="str">
        <f>B27</f>
        <v>M1</v>
      </c>
      <c r="F248">
        <v>1.3830963E7</v>
      </c>
      <c r="G248">
        <v>1.1710257E7</v>
      </c>
      <c r="H248" s="87" t="s">
        <v>217</v>
      </c>
    </row>
    <row r="249">
      <c r="A249" s="66"/>
      <c r="B249" t="s">
        <v>301</v>
      </c>
      <c r="C249" t="str">
        <f>B27</f>
        <v>M1</v>
      </c>
      <c r="F249">
        <v>1.3904301E7</v>
      </c>
      <c r="G249">
        <v>1.1783595E7</v>
      </c>
      <c r="H249" s="87" t="s">
        <v>172</v>
      </c>
    </row>
    <row r="250">
      <c r="A250" s="66"/>
      <c r="B250" t="s">
        <v>302</v>
      </c>
      <c r="C250" t="str">
        <f>B27</f>
        <v>M1</v>
      </c>
      <c r="F250">
        <v>1.4039586E7</v>
      </c>
      <c r="G250">
        <v>1.191888E7</v>
      </c>
      <c r="H250" s="87" t="s">
        <v>234</v>
      </c>
    </row>
    <row r="251">
      <c r="A251" s="66"/>
      <c r="B251" t="s">
        <v>303</v>
      </c>
      <c r="C251" t="str">
        <f>B27</f>
        <v>M1</v>
      </c>
      <c r="F251">
        <v>1.4063409E7</v>
      </c>
      <c r="G251">
        <v>1.1942703E7</v>
      </c>
      <c r="H251" s="87" t="s">
        <v>175</v>
      </c>
    </row>
    <row r="252">
      <c r="A252" s="66"/>
      <c r="B252" t="s">
        <v>304</v>
      </c>
      <c r="C252" t="str">
        <f>B27</f>
        <v>M1</v>
      </c>
      <c r="F252">
        <v>1.4103794E7</v>
      </c>
      <c r="G252">
        <v>1.1983088E7</v>
      </c>
      <c r="H252" s="87" t="s">
        <v>165</v>
      </c>
    </row>
    <row r="253">
      <c r="A253" s="66"/>
      <c r="B253" t="s">
        <v>305</v>
      </c>
      <c r="C253" t="str">
        <f>B27</f>
        <v>M1</v>
      </c>
      <c r="F253">
        <v>1.4124885E7</v>
      </c>
      <c r="G253">
        <v>1.2004179E7</v>
      </c>
      <c r="H253" s="87" t="s">
        <v>222</v>
      </c>
    </row>
    <row r="254">
      <c r="A254" s="66"/>
      <c r="B254" t="s">
        <v>306</v>
      </c>
      <c r="C254" t="str">
        <f>B27</f>
        <v>M1</v>
      </c>
      <c r="F254">
        <v>1.4149253E7</v>
      </c>
      <c r="G254">
        <v>1.2028547E7</v>
      </c>
      <c r="H254" s="87" t="s">
        <v>307</v>
      </c>
    </row>
    <row r="255">
      <c r="A255" s="66"/>
      <c r="B255" t="s">
        <v>308</v>
      </c>
      <c r="C255" t="str">
        <f>B27</f>
        <v>M1</v>
      </c>
      <c r="F255">
        <v>1.4177187E7</v>
      </c>
      <c r="G255">
        <v>1.2056481E7</v>
      </c>
      <c r="H255" s="87" t="s">
        <v>217</v>
      </c>
    </row>
    <row r="256">
      <c r="A256" s="66"/>
      <c r="B256" t="s">
        <v>309</v>
      </c>
      <c r="C256" t="str">
        <f>B27</f>
        <v>M1</v>
      </c>
      <c r="F256">
        <v>1.4189708E7</v>
      </c>
      <c r="G256">
        <v>1.2069002E7</v>
      </c>
      <c r="H256" s="87" t="s">
        <v>222</v>
      </c>
    </row>
    <row r="257">
      <c r="A257" s="66"/>
      <c r="B257" t="s">
        <v>310</v>
      </c>
      <c r="C257" t="str">
        <f>B27</f>
        <v>M1</v>
      </c>
      <c r="F257">
        <v>1.4194554E7</v>
      </c>
      <c r="G257">
        <v>1.2073848E7</v>
      </c>
      <c r="H257" s="87" t="s">
        <v>177</v>
      </c>
    </row>
    <row r="258">
      <c r="A258" s="66"/>
      <c r="B258" t="s">
        <v>311</v>
      </c>
      <c r="C258" t="str">
        <f>B27</f>
        <v>M1</v>
      </c>
      <c r="F258">
        <v>1.4202391E7</v>
      </c>
      <c r="G258">
        <v>1.2081685E7</v>
      </c>
      <c r="H258" s="87" t="s">
        <v>172</v>
      </c>
    </row>
    <row r="259">
      <c r="A259" s="66"/>
      <c r="B259" t="s">
        <v>312</v>
      </c>
      <c r="C259" t="str">
        <f>B27</f>
        <v>M1</v>
      </c>
      <c r="F259">
        <v>1.4241165E7</v>
      </c>
      <c r="G259">
        <v>1.2120459E7</v>
      </c>
      <c r="H259" s="87" t="s">
        <v>177</v>
      </c>
    </row>
    <row r="260">
      <c r="A260" s="66"/>
      <c r="B260" t="s">
        <v>313</v>
      </c>
      <c r="C260" t="str">
        <f>B27</f>
        <v>M1</v>
      </c>
      <c r="F260">
        <v>1.4264491E7</v>
      </c>
      <c r="G260">
        <v>1.2143785E7</v>
      </c>
      <c r="H260" s="87" t="s">
        <v>217</v>
      </c>
    </row>
    <row r="261">
      <c r="A261" s="66"/>
      <c r="B261" t="s">
        <v>314</v>
      </c>
      <c r="C261" t="str">
        <f>B27</f>
        <v>M1</v>
      </c>
      <c r="F261">
        <v>1.4297259E7</v>
      </c>
      <c r="G261">
        <v>1.2176553E7</v>
      </c>
      <c r="H261" s="87" t="s">
        <v>222</v>
      </c>
    </row>
    <row r="262">
      <c r="A262" s="66"/>
      <c r="B262" t="s">
        <v>315</v>
      </c>
      <c r="C262" t="str">
        <f>B27</f>
        <v>M1</v>
      </c>
      <c r="F262">
        <v>1.4337877E7</v>
      </c>
      <c r="G262">
        <v>1.2217172E7</v>
      </c>
      <c r="H262" s="87" t="s">
        <v>175</v>
      </c>
    </row>
    <row r="263">
      <c r="A263" s="66"/>
      <c r="B263" t="s">
        <v>316</v>
      </c>
      <c r="C263" t="str">
        <f>B27</f>
        <v>M1</v>
      </c>
      <c r="F263">
        <v>1.4408047E7</v>
      </c>
      <c r="G263">
        <v>1.2287345E7</v>
      </c>
      <c r="H263" s="87" t="s">
        <v>172</v>
      </c>
    </row>
    <row r="264">
      <c r="A264" s="66"/>
      <c r="B264" t="s">
        <v>317</v>
      </c>
      <c r="C264" t="str">
        <f>B27</f>
        <v>M1</v>
      </c>
      <c r="F264">
        <v>1.447698E7</v>
      </c>
      <c r="G264">
        <v>1.2356249E7</v>
      </c>
      <c r="H264" s="87" t="s">
        <v>172</v>
      </c>
    </row>
    <row r="265">
      <c r="A265" s="66"/>
      <c r="B265" t="s">
        <v>318</v>
      </c>
      <c r="C265" t="str">
        <f>B27</f>
        <v>M1</v>
      </c>
      <c r="F265">
        <v>1.4521025E7</v>
      </c>
      <c r="G265">
        <v>1.2409226E7</v>
      </c>
      <c r="H265" s="87" t="s">
        <v>175</v>
      </c>
    </row>
    <row r="266">
      <c r="A266" s="66"/>
      <c r="B266" t="s">
        <v>319</v>
      </c>
      <c r="C266" t="str">
        <f>B27</f>
        <v>M1</v>
      </c>
      <c r="F266">
        <v>1.4556522E7</v>
      </c>
      <c r="G266">
        <v>1.2444723E7</v>
      </c>
      <c r="H266" s="87" t="s">
        <v>177</v>
      </c>
    </row>
    <row r="267">
      <c r="A267" s="66"/>
      <c r="B267" t="s">
        <v>320</v>
      </c>
      <c r="C267" t="str">
        <f>B27</f>
        <v>M1</v>
      </c>
      <c r="F267">
        <v>1.4634528E7</v>
      </c>
      <c r="G267">
        <v>1.2522597E7</v>
      </c>
      <c r="H267" s="87" t="s">
        <v>175</v>
      </c>
    </row>
    <row r="268">
      <c r="A268" s="66"/>
      <c r="B268" t="s">
        <v>321</v>
      </c>
      <c r="C268" t="str">
        <f>B27</f>
        <v>M1</v>
      </c>
      <c r="F268">
        <v>1.4751028E7</v>
      </c>
      <c r="G268">
        <v>1.2639097E7</v>
      </c>
      <c r="H268" s="87" t="s">
        <v>234</v>
      </c>
    </row>
    <row r="269">
      <c r="A269" s="66"/>
      <c r="B269" t="s">
        <v>322</v>
      </c>
      <c r="C269" t="str">
        <f>B27</f>
        <v>M1</v>
      </c>
      <c r="F269">
        <v>1.4868592E7</v>
      </c>
      <c r="G269">
        <v>1.2756662E7</v>
      </c>
      <c r="H269" s="87" t="s">
        <v>217</v>
      </c>
    </row>
    <row r="270">
      <c r="A270" s="66"/>
      <c r="B270" t="s">
        <v>323</v>
      </c>
      <c r="C270" t="str">
        <f>B27</f>
        <v>M1</v>
      </c>
      <c r="F270">
        <v>1.4931961E7</v>
      </c>
      <c r="G270">
        <v>1.2820026E7</v>
      </c>
      <c r="H270" s="87" t="s">
        <v>177</v>
      </c>
    </row>
    <row r="271">
      <c r="A271" s="66"/>
      <c r="B271" t="s">
        <v>324</v>
      </c>
      <c r="C271" t="str">
        <f>B27</f>
        <v>M1</v>
      </c>
      <c r="F271">
        <v>1.5080736E7</v>
      </c>
      <c r="G271">
        <v>1.2968826E7</v>
      </c>
      <c r="H271" s="87" t="s">
        <v>225</v>
      </c>
    </row>
    <row r="272">
      <c r="A272" s="66"/>
      <c r="B272" t="s">
        <v>325</v>
      </c>
      <c r="C272" t="str">
        <f>B27</f>
        <v>M1</v>
      </c>
      <c r="F272">
        <v>1.5132373E7</v>
      </c>
      <c r="G272">
        <v>1.302046E7</v>
      </c>
      <c r="H272" s="87" t="s">
        <v>175</v>
      </c>
    </row>
    <row r="273">
      <c r="A273" s="66"/>
      <c r="B273" t="s">
        <v>326</v>
      </c>
      <c r="C273" t="str">
        <f>B27</f>
        <v>M1</v>
      </c>
      <c r="F273">
        <v>1.542968E7</v>
      </c>
      <c r="G273">
        <v>1.33178E7</v>
      </c>
      <c r="H273" s="87" t="s">
        <v>172</v>
      </c>
    </row>
    <row r="274">
      <c r="A274" s="66"/>
      <c r="B274" t="s">
        <v>327</v>
      </c>
      <c r="C274" t="str">
        <f>B27</f>
        <v>M1</v>
      </c>
      <c r="F274">
        <v>1.5449612E7</v>
      </c>
      <c r="G274">
        <v>1.3337732E7</v>
      </c>
      <c r="H274" s="87" t="s">
        <v>225</v>
      </c>
    </row>
    <row r="275">
      <c r="A275" s="66"/>
      <c r="B275" t="s">
        <v>328</v>
      </c>
      <c r="C275" t="str">
        <f>B27</f>
        <v>M1</v>
      </c>
      <c r="F275">
        <v>1.558035E7</v>
      </c>
      <c r="G275">
        <v>1.346847E7</v>
      </c>
      <c r="H275" s="87" t="s">
        <v>172</v>
      </c>
    </row>
    <row r="276">
      <c r="A276" s="66"/>
      <c r="B276" t="s">
        <v>329</v>
      </c>
      <c r="C276" t="str">
        <f>B27</f>
        <v>M1</v>
      </c>
      <c r="F276">
        <v>1.558537E7</v>
      </c>
      <c r="G276">
        <v>1.347349E7</v>
      </c>
      <c r="H276" s="87" t="s">
        <v>172</v>
      </c>
    </row>
    <row r="277">
      <c r="A277" s="66"/>
      <c r="B277" t="s">
        <v>330</v>
      </c>
      <c r="C277" t="str">
        <f>B27</f>
        <v>M1</v>
      </c>
      <c r="F277">
        <v>1.5650036E7</v>
      </c>
      <c r="G277">
        <v>1.3538156E7</v>
      </c>
      <c r="H277" s="87" t="s">
        <v>175</v>
      </c>
    </row>
    <row r="278">
      <c r="A278" s="66"/>
      <c r="B278" t="s">
        <v>331</v>
      </c>
      <c r="C278" t="str">
        <f>B27</f>
        <v>M1</v>
      </c>
      <c r="F278">
        <v>1.5755127E7</v>
      </c>
      <c r="G278">
        <v>1.3643247E7</v>
      </c>
      <c r="H278" s="87" t="s">
        <v>175</v>
      </c>
    </row>
    <row r="279">
      <c r="A279" s="66"/>
      <c r="B279" t="s">
        <v>332</v>
      </c>
      <c r="C279" t="str">
        <f>B27</f>
        <v>M1</v>
      </c>
      <c r="F279">
        <v>1.5967363E7</v>
      </c>
      <c r="G279">
        <v>1.3855483E7</v>
      </c>
      <c r="H279" s="87" t="s">
        <v>172</v>
      </c>
    </row>
    <row r="280">
      <c r="A280" s="66"/>
      <c r="B280" t="s">
        <v>333</v>
      </c>
      <c r="C280" t="str">
        <f>B27</f>
        <v>M1</v>
      </c>
      <c r="F280">
        <v>1.6095034E7</v>
      </c>
      <c r="G280">
        <v>1.3983154E7</v>
      </c>
      <c r="H280" s="87" t="s">
        <v>217</v>
      </c>
    </row>
    <row r="281">
      <c r="A281" s="66"/>
      <c r="B281" t="s">
        <v>334</v>
      </c>
      <c r="C281" t="str">
        <f>B27</f>
        <v>M1</v>
      </c>
      <c r="F281">
        <v>1.6132693E7</v>
      </c>
      <c r="G281">
        <v>1.4020813E7</v>
      </c>
      <c r="H281" s="87" t="s">
        <v>307</v>
      </c>
    </row>
    <row r="282">
      <c r="A282" s="66"/>
      <c r="B282" t="s">
        <v>335</v>
      </c>
      <c r="C282" t="str">
        <f>B27</f>
        <v>M1</v>
      </c>
      <c r="F282">
        <v>1.6132852E7</v>
      </c>
      <c r="G282">
        <v>1.4020972E7</v>
      </c>
      <c r="H282" s="87" t="s">
        <v>175</v>
      </c>
    </row>
    <row r="283">
      <c r="A283" s="66"/>
      <c r="B283" t="s">
        <v>336</v>
      </c>
      <c r="C283" t="str">
        <f>B27</f>
        <v>M1</v>
      </c>
      <c r="F283">
        <v>1.6278592E7</v>
      </c>
      <c r="G283">
        <v>1.4166712E7</v>
      </c>
      <c r="H283" s="87" t="s">
        <v>172</v>
      </c>
    </row>
    <row r="284">
      <c r="A284" s="66"/>
      <c r="B284" t="s">
        <v>337</v>
      </c>
      <c r="C284" t="str">
        <f>B27</f>
        <v>M1</v>
      </c>
      <c r="F284">
        <v>1.6328036E7</v>
      </c>
      <c r="G284">
        <v>1.4216156E7</v>
      </c>
      <c r="H284" s="87" t="s">
        <v>225</v>
      </c>
    </row>
    <row r="285">
      <c r="A285" s="66"/>
      <c r="B285" t="s">
        <v>338</v>
      </c>
      <c r="C285" t="str">
        <f>B27</f>
        <v>M1</v>
      </c>
      <c r="F285">
        <v>1.6382498E7</v>
      </c>
      <c r="G285">
        <v>1.4270618E7</v>
      </c>
      <c r="H285" s="87" t="s">
        <v>172</v>
      </c>
    </row>
    <row r="286">
      <c r="A286" s="66"/>
      <c r="B286" s="66" t="s">
        <v>339</v>
      </c>
      <c r="C286" t="str">
        <f>B27</f>
        <v>M1</v>
      </c>
      <c r="F286" s="66">
        <v>1.6399716E7</v>
      </c>
      <c r="G286" s="66">
        <v>1.4287836E7</v>
      </c>
      <c r="H286" s="89" t="s">
        <v>175</v>
      </c>
    </row>
    <row r="287">
      <c r="A287" s="66"/>
      <c r="B287" t="s">
        <v>340</v>
      </c>
      <c r="C287" t="str">
        <f>B27</f>
        <v>M1</v>
      </c>
      <c r="F287">
        <v>1.645718E7</v>
      </c>
      <c r="G287">
        <v>1.43453E7</v>
      </c>
      <c r="H287" s="87" t="s">
        <v>217</v>
      </c>
    </row>
    <row r="288">
      <c r="A288" s="66"/>
      <c r="B288" t="s">
        <v>341</v>
      </c>
      <c r="C288" t="str">
        <f>B27</f>
        <v>M1</v>
      </c>
      <c r="E288" s="66" t="s">
        <v>342</v>
      </c>
      <c r="F288">
        <v>1.6546532E7</v>
      </c>
      <c r="G288">
        <v>1.4434652E7</v>
      </c>
      <c r="H288" s="87" t="s">
        <v>165</v>
      </c>
    </row>
    <row r="289">
      <c r="A289" s="66"/>
      <c r="B289" t="s">
        <v>343</v>
      </c>
      <c r="C289" t="str">
        <f>B27</f>
        <v>M1</v>
      </c>
      <c r="F289">
        <v>1.6575466E7</v>
      </c>
      <c r="G289">
        <v>1.4463586E7</v>
      </c>
      <c r="H289" s="87" t="s">
        <v>177</v>
      </c>
    </row>
    <row r="290">
      <c r="A290" s="66"/>
      <c r="B290" t="s">
        <v>344</v>
      </c>
      <c r="C290" t="str">
        <f>B27</f>
        <v>M1</v>
      </c>
      <c r="F290">
        <v>1.6628741E7</v>
      </c>
      <c r="G290">
        <v>1.4516861E7</v>
      </c>
      <c r="H290" s="87" t="s">
        <v>177</v>
      </c>
    </row>
    <row r="291">
      <c r="A291" s="66"/>
      <c r="B291" t="s">
        <v>345</v>
      </c>
      <c r="C291" t="str">
        <f>B27</f>
        <v>M1</v>
      </c>
      <c r="F291">
        <v>1.6725197E7</v>
      </c>
      <c r="G291">
        <v>1.4613317E7</v>
      </c>
      <c r="H291" s="87" t="s">
        <v>177</v>
      </c>
    </row>
    <row r="292">
      <c r="A292" s="66"/>
      <c r="B292" t="s">
        <v>346</v>
      </c>
      <c r="C292" t="str">
        <f>B27</f>
        <v>M1</v>
      </c>
      <c r="F292">
        <v>1.6725361E7</v>
      </c>
      <c r="G292">
        <v>1.4613481E7</v>
      </c>
      <c r="H292" s="87" t="s">
        <v>217</v>
      </c>
    </row>
    <row r="293">
      <c r="A293" s="66"/>
      <c r="B293" t="s">
        <v>347</v>
      </c>
      <c r="C293" t="str">
        <f>B27</f>
        <v>M1</v>
      </c>
      <c r="F293">
        <v>1.6874027E7</v>
      </c>
      <c r="G293">
        <v>1.4762147E7</v>
      </c>
      <c r="H293" s="87" t="s">
        <v>177</v>
      </c>
    </row>
    <row r="294">
      <c r="A294" s="66"/>
      <c r="B294" t="s">
        <v>348</v>
      </c>
      <c r="C294" t="str">
        <f>B27</f>
        <v>M1</v>
      </c>
      <c r="E294" s="66" t="s">
        <v>349</v>
      </c>
      <c r="F294">
        <v>1.6906766E7</v>
      </c>
      <c r="G294">
        <v>1.4794886E7</v>
      </c>
      <c r="H294" s="87" t="s">
        <v>222</v>
      </c>
    </row>
    <row r="295">
      <c r="A295" s="66"/>
      <c r="B295" t="s">
        <v>350</v>
      </c>
      <c r="C295" t="str">
        <f>B27</f>
        <v>M1</v>
      </c>
      <c r="F295">
        <v>1.6909563E7</v>
      </c>
      <c r="G295">
        <v>1.4797683E7</v>
      </c>
      <c r="H295" s="87" t="s">
        <v>169</v>
      </c>
    </row>
    <row r="296">
      <c r="A296" s="66"/>
      <c r="B296" t="s">
        <v>351</v>
      </c>
      <c r="C296" t="str">
        <f>B27</f>
        <v>M1</v>
      </c>
      <c r="F296">
        <v>1.7032128E7</v>
      </c>
      <c r="G296">
        <v>1.4920248E7</v>
      </c>
      <c r="H296" s="87" t="s">
        <v>234</v>
      </c>
    </row>
    <row r="297">
      <c r="A297" s="66"/>
      <c r="B297" t="s">
        <v>352</v>
      </c>
      <c r="C297" t="str">
        <f>B27</f>
        <v>M1</v>
      </c>
      <c r="F297">
        <v>1.7032134E7</v>
      </c>
      <c r="G297">
        <v>1.4920254E7</v>
      </c>
      <c r="H297" s="87" t="s">
        <v>175</v>
      </c>
    </row>
    <row r="298">
      <c r="A298" s="66"/>
      <c r="B298" t="s">
        <v>353</v>
      </c>
      <c r="C298" t="str">
        <f>B27</f>
        <v>M1</v>
      </c>
      <c r="F298">
        <v>1.7098116E7</v>
      </c>
      <c r="G298">
        <v>1.4986236E7</v>
      </c>
      <c r="H298" s="87" t="s">
        <v>177</v>
      </c>
    </row>
    <row r="299">
      <c r="A299" s="66"/>
      <c r="B299" t="s">
        <v>354</v>
      </c>
      <c r="C299" t="str">
        <f>B27</f>
        <v>M1</v>
      </c>
      <c r="F299">
        <v>1.7150371E7</v>
      </c>
      <c r="G299">
        <v>1.5038491E7</v>
      </c>
      <c r="H299" s="87" t="s">
        <v>172</v>
      </c>
    </row>
    <row r="300">
      <c r="A300" s="66"/>
      <c r="B300" t="s">
        <v>355</v>
      </c>
      <c r="C300" t="str">
        <f>B27</f>
        <v>M1</v>
      </c>
      <c r="F300">
        <v>1.7241411E7</v>
      </c>
      <c r="G300">
        <v>1.5129531E7</v>
      </c>
      <c r="H300" s="87" t="s">
        <v>172</v>
      </c>
    </row>
    <row r="301">
      <c r="A301" s="66"/>
      <c r="B301" t="s">
        <v>356</v>
      </c>
      <c r="C301" t="str">
        <f>B27</f>
        <v>M1</v>
      </c>
      <c r="F301">
        <v>1.728014E7</v>
      </c>
      <c r="G301">
        <v>1.516826E7</v>
      </c>
      <c r="H301" s="87" t="s">
        <v>175</v>
      </c>
    </row>
    <row r="302">
      <c r="A302" s="66"/>
      <c r="B302" t="s">
        <v>357</v>
      </c>
      <c r="C302" t="str">
        <f>B27</f>
        <v>M1</v>
      </c>
      <c r="F302">
        <v>1.7280893E7</v>
      </c>
      <c r="G302">
        <v>1.5169013E7</v>
      </c>
      <c r="H302" s="87" t="s">
        <v>172</v>
      </c>
    </row>
    <row r="303">
      <c r="A303" s="66"/>
      <c r="B303" t="s">
        <v>358</v>
      </c>
      <c r="C303" t="str">
        <f>B27</f>
        <v>M1</v>
      </c>
      <c r="F303">
        <v>1.7289694E7</v>
      </c>
      <c r="G303">
        <v>1.5177814E7</v>
      </c>
      <c r="H303" s="87" t="s">
        <v>175</v>
      </c>
    </row>
    <row r="304">
      <c r="A304" s="66"/>
      <c r="B304" t="s">
        <v>359</v>
      </c>
      <c r="C304" t="str">
        <f>B27</f>
        <v>M1</v>
      </c>
      <c r="F304">
        <v>1.7302581E7</v>
      </c>
      <c r="G304">
        <v>1.5190701E7</v>
      </c>
      <c r="H304" s="87" t="s">
        <v>225</v>
      </c>
    </row>
    <row r="305">
      <c r="A305" s="66"/>
      <c r="B305" t="s">
        <v>360</v>
      </c>
      <c r="C305" t="str">
        <f>B27</f>
        <v>M1</v>
      </c>
      <c r="F305">
        <v>1.7314001E7</v>
      </c>
      <c r="G305">
        <v>1.5202121E7</v>
      </c>
      <c r="H305" s="87" t="s">
        <v>177</v>
      </c>
    </row>
    <row r="306">
      <c r="B306" t="s">
        <v>361</v>
      </c>
      <c r="C306" t="str">
        <f>B27</f>
        <v>M1</v>
      </c>
      <c r="F306">
        <v>1.7314491E7</v>
      </c>
      <c r="G306">
        <v>1.5202611E7</v>
      </c>
      <c r="H306" s="87" t="s">
        <v>172</v>
      </c>
    </row>
    <row r="307">
      <c r="B307" t="s">
        <v>362</v>
      </c>
      <c r="C307" t="str">
        <f>B27</f>
        <v>M1</v>
      </c>
      <c r="F307">
        <v>1.7400046E7</v>
      </c>
      <c r="G307">
        <v>1.5288166E7</v>
      </c>
      <c r="H307" s="87" t="s">
        <v>169</v>
      </c>
    </row>
    <row r="308">
      <c r="B308" t="s">
        <v>363</v>
      </c>
      <c r="C308" t="str">
        <f>B27</f>
        <v>M1</v>
      </c>
      <c r="F308">
        <v>1.754576E7</v>
      </c>
      <c r="G308">
        <v>1.543388E7</v>
      </c>
      <c r="H308" s="87" t="s">
        <v>165</v>
      </c>
    </row>
    <row r="309">
      <c r="B309" t="s">
        <v>364</v>
      </c>
      <c r="C309" t="str">
        <f>B27</f>
        <v>M1</v>
      </c>
      <c r="F309">
        <v>1.7575999E7</v>
      </c>
      <c r="G309">
        <v>1.5464119E7</v>
      </c>
      <c r="H309" s="87" t="s">
        <v>172</v>
      </c>
    </row>
    <row r="310">
      <c r="B310" t="s">
        <v>365</v>
      </c>
      <c r="C310" t="str">
        <f>B27</f>
        <v>M1</v>
      </c>
      <c r="F310">
        <v>1.7590506E7</v>
      </c>
      <c r="G310">
        <v>1.5478626E7</v>
      </c>
      <c r="H310" s="87" t="s">
        <v>177</v>
      </c>
    </row>
    <row r="311">
      <c r="B311" t="s">
        <v>366</v>
      </c>
      <c r="C311" t="str">
        <f>B27</f>
        <v>M1</v>
      </c>
      <c r="F311">
        <v>1.7596639E7</v>
      </c>
      <c r="G311">
        <v>1.5484759E7</v>
      </c>
      <c r="H311" s="87" t="s">
        <v>284</v>
      </c>
    </row>
    <row r="312">
      <c r="B312" t="s">
        <v>367</v>
      </c>
      <c r="C312" t="str">
        <f>B27</f>
        <v>M1</v>
      </c>
      <c r="F312">
        <v>1.7623639E7</v>
      </c>
      <c r="G312">
        <v>1.5511759E7</v>
      </c>
      <c r="H312" s="87" t="s">
        <v>177</v>
      </c>
    </row>
    <row r="313">
      <c r="B313" t="s">
        <v>368</v>
      </c>
      <c r="C313" t="str">
        <f>B27</f>
        <v>M1</v>
      </c>
      <c r="F313">
        <v>1.789329E7</v>
      </c>
      <c r="G313">
        <v>1.578141E7</v>
      </c>
      <c r="H313" s="87" t="s">
        <v>172</v>
      </c>
    </row>
    <row r="314">
      <c r="B314" t="s">
        <v>369</v>
      </c>
      <c r="C314" t="str">
        <f>B27</f>
        <v>M1</v>
      </c>
      <c r="F314">
        <v>1.7922264E7</v>
      </c>
      <c r="G314">
        <v>1.5810384E7</v>
      </c>
      <c r="H314" s="87" t="s">
        <v>175</v>
      </c>
    </row>
    <row r="315">
      <c r="B315" t="s">
        <v>370</v>
      </c>
      <c r="C315" t="str">
        <f>B27</f>
        <v>M1</v>
      </c>
      <c r="F315">
        <v>1.8034383E7</v>
      </c>
      <c r="G315">
        <v>1.5922503E7</v>
      </c>
      <c r="H315" s="87" t="s">
        <v>165</v>
      </c>
    </row>
    <row r="316">
      <c r="B316" t="s">
        <v>371</v>
      </c>
      <c r="C316" t="str">
        <f>B27</f>
        <v>M1</v>
      </c>
      <c r="F316">
        <v>1.8052198E7</v>
      </c>
      <c r="G316">
        <v>1.5940318E7</v>
      </c>
      <c r="H316" s="87" t="s">
        <v>169</v>
      </c>
    </row>
    <row r="317">
      <c r="B317" t="s">
        <v>372</v>
      </c>
      <c r="C317" t="str">
        <f>B27</f>
        <v>M1</v>
      </c>
      <c r="F317">
        <v>1.8096942E7</v>
      </c>
      <c r="G317">
        <v>1.5985062E7</v>
      </c>
      <c r="H317" s="87" t="s">
        <v>169</v>
      </c>
    </row>
    <row r="318">
      <c r="B318" t="s">
        <v>373</v>
      </c>
      <c r="C318" s="66" t="str">
        <f>B27</f>
        <v>M1</v>
      </c>
      <c r="F318">
        <v>1.8113885E7</v>
      </c>
      <c r="G318">
        <v>1.6002005E7</v>
      </c>
      <c r="H318" s="87" t="s">
        <v>222</v>
      </c>
    </row>
    <row r="319">
      <c r="B319" t="s">
        <v>374</v>
      </c>
      <c r="C319" t="str">
        <f>B27</f>
        <v>M1</v>
      </c>
      <c r="F319">
        <v>1.8413781E7</v>
      </c>
      <c r="G319">
        <v>1.6301901E7</v>
      </c>
      <c r="H319" s="87" t="s">
        <v>222</v>
      </c>
    </row>
    <row r="320">
      <c r="B320" t="s">
        <v>375</v>
      </c>
      <c r="C320" t="str">
        <f>B27</f>
        <v>M1</v>
      </c>
      <c r="F320">
        <v>1.8628116E7</v>
      </c>
      <c r="G320">
        <v>1.6516236E7</v>
      </c>
      <c r="H320" s="87" t="s">
        <v>177</v>
      </c>
    </row>
    <row r="321">
      <c r="B321" t="s">
        <v>376</v>
      </c>
      <c r="C321" t="str">
        <f>B27</f>
        <v>M1</v>
      </c>
      <c r="F321">
        <v>1.8634599E7</v>
      </c>
      <c r="G321">
        <v>1.6522719E7</v>
      </c>
      <c r="H321" s="87" t="s">
        <v>169</v>
      </c>
    </row>
    <row r="322">
      <c r="B322" t="s">
        <v>377</v>
      </c>
      <c r="C322" t="str">
        <f>B27</f>
        <v>M1</v>
      </c>
      <c r="F322">
        <v>1.8740907E7</v>
      </c>
      <c r="G322">
        <v>1.6629027E7</v>
      </c>
      <c r="H322" s="87" t="s">
        <v>175</v>
      </c>
    </row>
    <row r="323">
      <c r="B323" t="s">
        <v>378</v>
      </c>
      <c r="C323" t="str">
        <f>B27</f>
        <v>M1</v>
      </c>
      <c r="F323">
        <v>1.8782507E7</v>
      </c>
      <c r="G323">
        <v>1.6670627E7</v>
      </c>
      <c r="H323" s="87" t="s">
        <v>169</v>
      </c>
    </row>
    <row r="324">
      <c r="B324" t="s">
        <v>379</v>
      </c>
      <c r="C324" t="str">
        <f>B27</f>
        <v>M1</v>
      </c>
      <c r="F324">
        <v>1.8849664E7</v>
      </c>
      <c r="G324">
        <v>1.6737784E7</v>
      </c>
      <c r="H324" s="87" t="s">
        <v>217</v>
      </c>
    </row>
    <row r="325">
      <c r="B325" t="s">
        <v>380</v>
      </c>
      <c r="C325" t="str">
        <f>B27</f>
        <v>M1</v>
      </c>
      <c r="F325">
        <v>1.9005336E7</v>
      </c>
      <c r="G325">
        <v>1.6893456E7</v>
      </c>
      <c r="H325" s="87" t="s">
        <v>177</v>
      </c>
    </row>
    <row r="326">
      <c r="B326" t="s">
        <v>381</v>
      </c>
      <c r="C326" t="str">
        <f>B27</f>
        <v>M1</v>
      </c>
      <c r="F326">
        <v>1.9042711E7</v>
      </c>
      <c r="G326">
        <v>1.6930831E7</v>
      </c>
      <c r="H326" s="87" t="s">
        <v>284</v>
      </c>
    </row>
    <row r="327">
      <c r="B327" t="s">
        <v>382</v>
      </c>
      <c r="C327" t="str">
        <f>B27</f>
        <v>M1</v>
      </c>
      <c r="F327">
        <v>1.9090266E7</v>
      </c>
      <c r="G327">
        <v>1.6978386E7</v>
      </c>
      <c r="H327" s="87" t="s">
        <v>175</v>
      </c>
    </row>
    <row r="328">
      <c r="B328" t="s">
        <v>383</v>
      </c>
      <c r="C328" t="str">
        <f>B27</f>
        <v>M1</v>
      </c>
      <c r="F328">
        <v>1.9107344E7</v>
      </c>
      <c r="G328">
        <v>1.6995464E7</v>
      </c>
      <c r="H328" s="87" t="s">
        <v>165</v>
      </c>
    </row>
    <row r="329">
      <c r="B329" t="s">
        <v>384</v>
      </c>
      <c r="C329" t="str">
        <f>B27</f>
        <v>M1</v>
      </c>
      <c r="F329">
        <v>1.9172087E7</v>
      </c>
      <c r="G329">
        <v>1.7060207E7</v>
      </c>
      <c r="H329" s="87" t="s">
        <v>253</v>
      </c>
    </row>
    <row r="330">
      <c r="B330" t="s">
        <v>385</v>
      </c>
      <c r="C330" t="str">
        <f>B27</f>
        <v>M1</v>
      </c>
      <c r="F330">
        <v>1.9241561E7</v>
      </c>
      <c r="G330">
        <v>1.7129681E7</v>
      </c>
      <c r="H330" s="87" t="s">
        <v>177</v>
      </c>
    </row>
    <row r="331">
      <c r="B331" t="s">
        <v>386</v>
      </c>
      <c r="C331" t="str">
        <f>B27</f>
        <v>M1</v>
      </c>
      <c r="F331">
        <v>1.9334083E7</v>
      </c>
      <c r="G331">
        <v>1.7222203E7</v>
      </c>
      <c r="H331" s="87" t="s">
        <v>172</v>
      </c>
    </row>
    <row r="332">
      <c r="B332" t="s">
        <v>387</v>
      </c>
      <c r="C332" t="str">
        <f>B27</f>
        <v>M1</v>
      </c>
      <c r="F332">
        <v>1.9436907E7</v>
      </c>
      <c r="G332">
        <v>1.7325027E7</v>
      </c>
      <c r="H332" s="87" t="s">
        <v>284</v>
      </c>
    </row>
    <row r="333">
      <c r="B333" t="s">
        <v>388</v>
      </c>
      <c r="C333" t="str">
        <f>B27</f>
        <v>M1</v>
      </c>
      <c r="F333">
        <v>1.9443332E7</v>
      </c>
      <c r="G333">
        <v>1.7331452E7</v>
      </c>
      <c r="H333" s="87" t="s">
        <v>177</v>
      </c>
    </row>
    <row r="334">
      <c r="B334" t="s">
        <v>389</v>
      </c>
      <c r="C334" t="str">
        <f>B27</f>
        <v>M1</v>
      </c>
      <c r="F334">
        <v>1.952006E7</v>
      </c>
      <c r="G334">
        <v>1.740818E7</v>
      </c>
      <c r="H334" s="87" t="s">
        <v>217</v>
      </c>
    </row>
    <row r="335">
      <c r="B335" t="s">
        <v>390</v>
      </c>
      <c r="C335" t="str">
        <f>B27</f>
        <v>M1</v>
      </c>
      <c r="F335">
        <v>2.0816739E7</v>
      </c>
      <c r="G335">
        <v>1.8654853E7</v>
      </c>
      <c r="H335" s="87" t="s">
        <v>225</v>
      </c>
    </row>
    <row r="336">
      <c r="B336" t="s">
        <v>391</v>
      </c>
      <c r="C336" t="str">
        <f>B27</f>
        <v>M1</v>
      </c>
      <c r="F336">
        <v>2.1069302E7</v>
      </c>
      <c r="G336">
        <v>1.8907416E7</v>
      </c>
      <c r="H336" s="87" t="s">
        <v>172</v>
      </c>
    </row>
    <row r="337">
      <c r="B337" t="s">
        <v>392</v>
      </c>
      <c r="C337" t="str">
        <f>B27</f>
        <v>M1</v>
      </c>
      <c r="F337">
        <v>2.1142313E7</v>
      </c>
      <c r="G337">
        <v>1.8980427E7</v>
      </c>
      <c r="H337" s="87" t="s">
        <v>284</v>
      </c>
    </row>
    <row r="338">
      <c r="B338" t="s">
        <v>393</v>
      </c>
      <c r="C338" t="str">
        <f>B27</f>
        <v>M1</v>
      </c>
      <c r="F338">
        <v>2.1179019E7</v>
      </c>
      <c r="G338">
        <v>1.9017133E7</v>
      </c>
      <c r="H338" s="87" t="s">
        <v>177</v>
      </c>
    </row>
    <row r="339">
      <c r="B339" t="s">
        <v>394</v>
      </c>
      <c r="C339" t="str">
        <f>B27</f>
        <v>M1</v>
      </c>
      <c r="F339">
        <v>2.1202963E7</v>
      </c>
      <c r="G339">
        <v>1.9041077E7</v>
      </c>
      <c r="H339" s="87" t="s">
        <v>234</v>
      </c>
    </row>
    <row r="340">
      <c r="B340" t="s">
        <v>395</v>
      </c>
      <c r="C340" t="str">
        <f>B27</f>
        <v>M1</v>
      </c>
      <c r="F340">
        <v>2.1209376E7</v>
      </c>
      <c r="G340">
        <v>1.904749E7</v>
      </c>
      <c r="H340" s="87" t="s">
        <v>172</v>
      </c>
    </row>
    <row r="341">
      <c r="B341" t="s">
        <v>396</v>
      </c>
      <c r="C341" t="str">
        <f>B27</f>
        <v>M1</v>
      </c>
      <c r="F341">
        <v>2.1235835E7</v>
      </c>
      <c r="G341">
        <v>1.9073949E7</v>
      </c>
      <c r="H341" s="87" t="s">
        <v>284</v>
      </c>
    </row>
    <row r="342">
      <c r="B342" t="s">
        <v>397</v>
      </c>
      <c r="C342" t="str">
        <f>B27</f>
        <v>M1</v>
      </c>
      <c r="F342">
        <v>2.1314389E7</v>
      </c>
      <c r="G342">
        <v>1.9152503E7</v>
      </c>
      <c r="H342" s="87" t="s">
        <v>165</v>
      </c>
    </row>
    <row r="343">
      <c r="B343" t="s">
        <v>398</v>
      </c>
      <c r="C343" t="str">
        <f>B27</f>
        <v>M1</v>
      </c>
      <c r="F343">
        <v>2.1317402E7</v>
      </c>
      <c r="G343">
        <v>1.9155516E7</v>
      </c>
      <c r="H343" s="87" t="s">
        <v>307</v>
      </c>
    </row>
    <row r="344">
      <c r="B344" t="s">
        <v>399</v>
      </c>
      <c r="C344" t="str">
        <f>B27</f>
        <v>M1</v>
      </c>
      <c r="F344">
        <v>2.1323767E7</v>
      </c>
      <c r="G344">
        <v>1.9161881E7</v>
      </c>
      <c r="H344" s="87" t="s">
        <v>177</v>
      </c>
    </row>
    <row r="345">
      <c r="B345" t="s">
        <v>400</v>
      </c>
      <c r="C345" t="str">
        <f>B27</f>
        <v>M1</v>
      </c>
      <c r="F345">
        <v>2.1506368E7</v>
      </c>
      <c r="G345">
        <v>1.9344482E7</v>
      </c>
      <c r="H345" s="87" t="s">
        <v>165</v>
      </c>
    </row>
    <row r="346">
      <c r="B346" t="s">
        <v>401</v>
      </c>
      <c r="C346" t="str">
        <f>B27</f>
        <v>M1</v>
      </c>
      <c r="F346">
        <v>2.1569659E7</v>
      </c>
      <c r="G346">
        <v>1.9407773E7</v>
      </c>
      <c r="H346" s="87" t="s">
        <v>169</v>
      </c>
    </row>
    <row r="347">
      <c r="B347" t="s">
        <v>402</v>
      </c>
      <c r="C347" t="str">
        <f>B27</f>
        <v>M1</v>
      </c>
      <c r="F347">
        <v>2.1588611E7</v>
      </c>
      <c r="G347">
        <v>1.9426725E7</v>
      </c>
      <c r="H347" s="87" t="s">
        <v>177</v>
      </c>
    </row>
    <row r="348">
      <c r="B348" t="s">
        <v>403</v>
      </c>
      <c r="C348" t="str">
        <f>B27</f>
        <v>M1</v>
      </c>
      <c r="F348">
        <v>2.1607514E7</v>
      </c>
      <c r="G348">
        <v>1.9445628E7</v>
      </c>
      <c r="H348" s="87" t="s">
        <v>169</v>
      </c>
    </row>
    <row r="349">
      <c r="B349" t="s">
        <v>404</v>
      </c>
      <c r="C349" t="str">
        <f>B27</f>
        <v>M1</v>
      </c>
      <c r="F349">
        <v>2.1806552E7</v>
      </c>
      <c r="G349">
        <v>1.9644666E7</v>
      </c>
      <c r="H349" s="87" t="s">
        <v>177</v>
      </c>
    </row>
    <row r="350">
      <c r="B350" t="s">
        <v>405</v>
      </c>
      <c r="C350" t="str">
        <f>B27</f>
        <v>M1</v>
      </c>
      <c r="F350">
        <v>2.1876169E7</v>
      </c>
      <c r="G350">
        <v>1.9714283E7</v>
      </c>
      <c r="H350" s="87" t="s">
        <v>234</v>
      </c>
    </row>
    <row r="351">
      <c r="B351" t="s">
        <v>406</v>
      </c>
      <c r="C351" t="str">
        <f>B27</f>
        <v>M1</v>
      </c>
      <c r="F351">
        <v>2.1885884E7</v>
      </c>
      <c r="G351">
        <v>1.9723998E7</v>
      </c>
      <c r="H351" s="87" t="s">
        <v>165</v>
      </c>
    </row>
    <row r="352">
      <c r="B352" t="s">
        <v>407</v>
      </c>
      <c r="C352" t="str">
        <f>B27</f>
        <v>M1</v>
      </c>
      <c r="F352">
        <v>2.1919199E7</v>
      </c>
      <c r="G352">
        <v>1.9757313E7</v>
      </c>
      <c r="H352" s="87" t="s">
        <v>177</v>
      </c>
    </row>
    <row r="353">
      <c r="B353" t="s">
        <v>408</v>
      </c>
      <c r="C353" t="str">
        <f>B27</f>
        <v>M1</v>
      </c>
      <c r="F353">
        <v>2.1929233E7</v>
      </c>
      <c r="G353">
        <v>1.9767347E7</v>
      </c>
      <c r="H353" s="87" t="s">
        <v>172</v>
      </c>
    </row>
    <row r="354">
      <c r="B354" t="s">
        <v>409</v>
      </c>
      <c r="C354" t="str">
        <f>B27</f>
        <v>M1</v>
      </c>
      <c r="E354" s="66" t="s">
        <v>410</v>
      </c>
      <c r="F354">
        <v>2.2001168E7</v>
      </c>
      <c r="G354">
        <v>1.9839282E7</v>
      </c>
      <c r="H354" s="87" t="s">
        <v>165</v>
      </c>
    </row>
    <row r="355">
      <c r="B355" t="s">
        <v>411</v>
      </c>
      <c r="C355" t="str">
        <f>B27</f>
        <v>M1</v>
      </c>
      <c r="F355">
        <v>2.2003568E7</v>
      </c>
      <c r="G355">
        <v>1.9841682E7</v>
      </c>
      <c r="H355" s="87" t="s">
        <v>172</v>
      </c>
    </row>
    <row r="356">
      <c r="B356" t="s">
        <v>412</v>
      </c>
      <c r="C356" t="str">
        <f>B27</f>
        <v>M1</v>
      </c>
      <c r="F356">
        <v>2.200688E7</v>
      </c>
      <c r="G356">
        <v>1.9844994E7</v>
      </c>
      <c r="H356" s="87" t="s">
        <v>172</v>
      </c>
    </row>
    <row r="357">
      <c r="B357" t="s">
        <v>413</v>
      </c>
      <c r="C357" t="str">
        <f>B27</f>
        <v>M1</v>
      </c>
      <c r="F357">
        <v>2.2006975E7</v>
      </c>
      <c r="G357">
        <v>1.9845089E7</v>
      </c>
      <c r="H357" s="87" t="s">
        <v>172</v>
      </c>
    </row>
    <row r="358">
      <c r="B358" t="s">
        <v>414</v>
      </c>
      <c r="C358" t="str">
        <f>B27</f>
        <v>M1</v>
      </c>
      <c r="F358">
        <v>2.2028307E7</v>
      </c>
      <c r="G358">
        <v>1.9866421E7</v>
      </c>
      <c r="H358" s="87" t="s">
        <v>177</v>
      </c>
    </row>
    <row r="359">
      <c r="B359" t="s">
        <v>415</v>
      </c>
      <c r="C359" t="str">
        <f>B27</f>
        <v>M1</v>
      </c>
      <c r="F359">
        <v>2.2140515E7</v>
      </c>
      <c r="G359">
        <v>1.9978629E7</v>
      </c>
      <c r="H359" s="87" t="s">
        <v>284</v>
      </c>
    </row>
    <row r="360">
      <c r="B360" t="s">
        <v>416</v>
      </c>
      <c r="C360" t="str">
        <f>B27</f>
        <v>M1</v>
      </c>
      <c r="F360">
        <v>2.2147651E7</v>
      </c>
      <c r="G360">
        <v>1.9985765E7</v>
      </c>
      <c r="H360" s="87" t="s">
        <v>175</v>
      </c>
    </row>
    <row r="361">
      <c r="B361" t="s">
        <v>417</v>
      </c>
      <c r="C361" t="str">
        <f>B27</f>
        <v>M1</v>
      </c>
      <c r="F361">
        <v>2.2158004E7</v>
      </c>
      <c r="G361">
        <v>1.9996118E7</v>
      </c>
      <c r="H361" s="87" t="s">
        <v>169</v>
      </c>
    </row>
    <row r="362">
      <c r="B362" t="s">
        <v>418</v>
      </c>
      <c r="C362" t="str">
        <f>B27</f>
        <v>M1</v>
      </c>
      <c r="F362">
        <v>2.2538867E7</v>
      </c>
      <c r="G362">
        <v>2.0376981E7</v>
      </c>
      <c r="H362" s="87" t="s">
        <v>175</v>
      </c>
    </row>
    <row r="363">
      <c r="B363" t="s">
        <v>419</v>
      </c>
      <c r="C363" t="str">
        <f>B27</f>
        <v>M1</v>
      </c>
      <c r="F363">
        <v>2.2541105E7</v>
      </c>
      <c r="G363">
        <v>2.0379219E7</v>
      </c>
      <c r="H363" s="87" t="s">
        <v>165</v>
      </c>
    </row>
    <row r="364">
      <c r="B364" t="s">
        <v>420</v>
      </c>
      <c r="C364" t="str">
        <f>B27</f>
        <v>M1</v>
      </c>
      <c r="F364">
        <v>2.2580381E7</v>
      </c>
      <c r="G364">
        <v>2.0418495E7</v>
      </c>
      <c r="H364" s="87" t="s">
        <v>175</v>
      </c>
    </row>
    <row r="365">
      <c r="B365" t="s">
        <v>421</v>
      </c>
      <c r="C365" t="str">
        <f>B27</f>
        <v>M1</v>
      </c>
      <c r="F365">
        <v>2.2585364E7</v>
      </c>
      <c r="G365">
        <v>2.0423478E7</v>
      </c>
      <c r="H365" s="87" t="s">
        <v>234</v>
      </c>
    </row>
    <row r="366">
      <c r="B366" t="s">
        <v>422</v>
      </c>
      <c r="C366" t="str">
        <f>B27</f>
        <v>M1</v>
      </c>
      <c r="F366">
        <v>2.2591707E7</v>
      </c>
      <c r="G366">
        <v>2.0429821E7</v>
      </c>
      <c r="H366" s="87" t="s">
        <v>169</v>
      </c>
    </row>
    <row r="367">
      <c r="B367" t="s">
        <v>423</v>
      </c>
      <c r="C367" t="str">
        <f>B27</f>
        <v>M1</v>
      </c>
      <c r="F367">
        <v>2.2647025E7</v>
      </c>
      <c r="G367">
        <v>2.0485139E7</v>
      </c>
      <c r="H367" s="87" t="s">
        <v>165</v>
      </c>
    </row>
    <row r="368">
      <c r="B368" t="s">
        <v>424</v>
      </c>
      <c r="C368" t="str">
        <f>B27</f>
        <v>M1</v>
      </c>
      <c r="F368">
        <v>2.273373E7</v>
      </c>
      <c r="G368">
        <v>2.0571844E7</v>
      </c>
      <c r="H368" s="87" t="s">
        <v>175</v>
      </c>
    </row>
    <row r="369">
      <c r="B369" t="s">
        <v>425</v>
      </c>
      <c r="C369" t="str">
        <f>B27</f>
        <v>M1</v>
      </c>
      <c r="F369">
        <v>2.2773249E7</v>
      </c>
      <c r="G369">
        <v>2.0611363E7</v>
      </c>
      <c r="H369" s="87" t="s">
        <v>165</v>
      </c>
    </row>
    <row r="370">
      <c r="B370" t="s">
        <v>426</v>
      </c>
      <c r="C370" t="str">
        <f>B27</f>
        <v>M1</v>
      </c>
      <c r="F370">
        <v>2.2794375E7</v>
      </c>
      <c r="G370">
        <v>2.0632489E7</v>
      </c>
      <c r="H370" s="87" t="s">
        <v>165</v>
      </c>
    </row>
    <row r="371">
      <c r="B371" t="s">
        <v>427</v>
      </c>
      <c r="C371" t="str">
        <f>B27</f>
        <v>M1</v>
      </c>
      <c r="F371">
        <v>2.2833461E7</v>
      </c>
      <c r="G371">
        <v>2.0671575E7</v>
      </c>
      <c r="H371" s="87" t="s">
        <v>172</v>
      </c>
    </row>
    <row r="372">
      <c r="B372" t="s">
        <v>428</v>
      </c>
      <c r="C372" t="str">
        <f>B27</f>
        <v>M1</v>
      </c>
      <c r="F372">
        <v>2.2864231E7</v>
      </c>
      <c r="G372">
        <v>2.0702345E7</v>
      </c>
      <c r="H372" s="87" t="s">
        <v>217</v>
      </c>
    </row>
    <row r="373">
      <c r="B373" t="s">
        <v>429</v>
      </c>
      <c r="C373" t="str">
        <f>B27</f>
        <v>M1</v>
      </c>
      <c r="F373">
        <v>2.2885471E7</v>
      </c>
      <c r="G373">
        <v>2.0723585E7</v>
      </c>
      <c r="H373" s="87" t="s">
        <v>165</v>
      </c>
    </row>
    <row r="374">
      <c r="B374" t="s">
        <v>430</v>
      </c>
      <c r="C374" t="str">
        <f>B27</f>
        <v>M1</v>
      </c>
      <c r="F374">
        <v>2.2998408E7</v>
      </c>
      <c r="G374">
        <v>2.0836522E7</v>
      </c>
      <c r="H374" s="87" t="s">
        <v>175</v>
      </c>
    </row>
    <row r="375">
      <c r="B375" t="s">
        <v>431</v>
      </c>
      <c r="C375" t="str">
        <f>B27</f>
        <v>M1</v>
      </c>
      <c r="F375">
        <v>2.3032344E7</v>
      </c>
      <c r="G375">
        <v>2.0870458E7</v>
      </c>
      <c r="H375" s="87" t="s">
        <v>172</v>
      </c>
    </row>
    <row r="376">
      <c r="B376" t="s">
        <v>432</v>
      </c>
      <c r="C376" t="str">
        <f>B27</f>
        <v>M1</v>
      </c>
      <c r="F376">
        <v>2.3071887E7</v>
      </c>
      <c r="G376">
        <v>2.0910001E7</v>
      </c>
      <c r="H376" s="87" t="s">
        <v>217</v>
      </c>
    </row>
    <row r="377">
      <c r="B377" t="s">
        <v>433</v>
      </c>
      <c r="C377" t="str">
        <f>B27</f>
        <v>M1</v>
      </c>
      <c r="F377">
        <v>2.312365E7</v>
      </c>
      <c r="G377">
        <v>2.0961764E7</v>
      </c>
      <c r="H377" s="87" t="s">
        <v>165</v>
      </c>
    </row>
    <row r="378">
      <c r="B378" t="s">
        <v>434</v>
      </c>
      <c r="C378" t="str">
        <f>B27</f>
        <v>M1</v>
      </c>
      <c r="F378">
        <v>2.3125531E7</v>
      </c>
      <c r="G378">
        <v>2.0963645E7</v>
      </c>
      <c r="H378" s="87" t="s">
        <v>234</v>
      </c>
    </row>
    <row r="379">
      <c r="B379" t="s">
        <v>435</v>
      </c>
      <c r="C379" t="str">
        <f>B27</f>
        <v>M1</v>
      </c>
      <c r="F379">
        <v>2.3130833E7</v>
      </c>
      <c r="G379">
        <v>2.0968947E7</v>
      </c>
      <c r="H379" s="87" t="s">
        <v>172</v>
      </c>
    </row>
    <row r="380">
      <c r="B380" t="s">
        <v>436</v>
      </c>
      <c r="C380" t="str">
        <f>B27</f>
        <v>M1</v>
      </c>
      <c r="F380">
        <v>2.3159757E7</v>
      </c>
      <c r="G380">
        <v>2.0997871E7</v>
      </c>
      <c r="H380" s="87" t="s">
        <v>225</v>
      </c>
    </row>
    <row r="381">
      <c r="B381" t="s">
        <v>437</v>
      </c>
      <c r="C381" t="str">
        <f>B27</f>
        <v>M1</v>
      </c>
      <c r="F381">
        <v>2.3163023E7</v>
      </c>
      <c r="G381">
        <v>2.1001137E7</v>
      </c>
      <c r="H381" s="87" t="s">
        <v>165</v>
      </c>
    </row>
    <row r="382">
      <c r="B382" t="s">
        <v>438</v>
      </c>
      <c r="C382" t="str">
        <f>B27</f>
        <v>M1</v>
      </c>
      <c r="E382" s="66" t="s">
        <v>439</v>
      </c>
      <c r="F382">
        <v>2.3338962E7</v>
      </c>
      <c r="G382">
        <v>2.1177076E7</v>
      </c>
      <c r="H382" s="87" t="s">
        <v>172</v>
      </c>
    </row>
    <row r="383">
      <c r="B383" t="s">
        <v>440</v>
      </c>
      <c r="C383" t="str">
        <f>B27</f>
        <v>M1</v>
      </c>
      <c r="F383">
        <v>2.3372003E7</v>
      </c>
      <c r="G383">
        <v>2.1210117E7</v>
      </c>
      <c r="H383" s="87" t="s">
        <v>177</v>
      </c>
    </row>
    <row r="384">
      <c r="B384" t="s">
        <v>441</v>
      </c>
      <c r="C384" t="str">
        <f>B27</f>
        <v>M1</v>
      </c>
      <c r="F384">
        <v>2.3388612E7</v>
      </c>
      <c r="G384">
        <v>2.1226726E7</v>
      </c>
      <c r="H384" s="87" t="s">
        <v>253</v>
      </c>
    </row>
    <row r="385">
      <c r="B385" t="s">
        <v>442</v>
      </c>
      <c r="C385" t="str">
        <f>B27</f>
        <v>M1</v>
      </c>
      <c r="F385">
        <v>2.344302E7</v>
      </c>
      <c r="G385">
        <v>2.1281134E7</v>
      </c>
      <c r="H385" s="87" t="s">
        <v>165</v>
      </c>
    </row>
    <row r="386">
      <c r="B386" t="s">
        <v>443</v>
      </c>
      <c r="C386" t="str">
        <f>B27</f>
        <v>M1</v>
      </c>
      <c r="F386">
        <v>2.3445191E7</v>
      </c>
      <c r="G386">
        <v>2.1283305E7</v>
      </c>
      <c r="H386" s="87" t="s">
        <v>225</v>
      </c>
    </row>
    <row r="387">
      <c r="B387" t="s">
        <v>444</v>
      </c>
      <c r="C387" t="str">
        <f>B27</f>
        <v>M1</v>
      </c>
      <c r="F387">
        <v>2.3461113E7</v>
      </c>
      <c r="G387">
        <v>2.1299227E7</v>
      </c>
      <c r="H387" s="87" t="s">
        <v>175</v>
      </c>
    </row>
    <row r="388">
      <c r="B388" t="s">
        <v>445</v>
      </c>
      <c r="C388" t="str">
        <f>B27</f>
        <v>M1</v>
      </c>
      <c r="F388">
        <v>2.3563089E7</v>
      </c>
      <c r="G388">
        <v>2.1401203E7</v>
      </c>
      <c r="H388" s="87" t="s">
        <v>165</v>
      </c>
    </row>
    <row r="389">
      <c r="B389" t="s">
        <v>446</v>
      </c>
      <c r="C389" t="str">
        <f>B27</f>
        <v>M1</v>
      </c>
      <c r="F389">
        <v>2.358695E7</v>
      </c>
      <c r="G389">
        <v>2.1425064E7</v>
      </c>
      <c r="H389" s="87" t="s">
        <v>165</v>
      </c>
    </row>
    <row r="390">
      <c r="B390" t="s">
        <v>447</v>
      </c>
      <c r="C390" t="str">
        <f>B27</f>
        <v>M1</v>
      </c>
      <c r="F390">
        <v>2.3596565E7</v>
      </c>
      <c r="G390">
        <v>2.1434679E7</v>
      </c>
      <c r="H390" s="87" t="s">
        <v>165</v>
      </c>
    </row>
    <row r="391">
      <c r="B391" t="s">
        <v>448</v>
      </c>
      <c r="C391" t="str">
        <f>B27</f>
        <v>M1</v>
      </c>
      <c r="F391">
        <v>2.3622179E7</v>
      </c>
      <c r="G391">
        <v>2.1460293E7</v>
      </c>
      <c r="H391" s="87" t="s">
        <v>165</v>
      </c>
    </row>
    <row r="392">
      <c r="B392" t="s">
        <v>449</v>
      </c>
      <c r="C392" t="str">
        <f>B27</f>
        <v>M1</v>
      </c>
      <c r="F392">
        <v>2.3635202E7</v>
      </c>
      <c r="G392">
        <v>2.1473316E7</v>
      </c>
      <c r="H392" s="87" t="s">
        <v>225</v>
      </c>
    </row>
    <row r="393">
      <c r="B393" t="s">
        <v>450</v>
      </c>
      <c r="C393" t="str">
        <f>B27</f>
        <v>M1</v>
      </c>
      <c r="F393">
        <v>2.3749328E7</v>
      </c>
      <c r="G393">
        <v>2.1587442E7</v>
      </c>
      <c r="H393" s="87" t="s">
        <v>253</v>
      </c>
    </row>
    <row r="394">
      <c r="B394" t="s">
        <v>451</v>
      </c>
      <c r="C394" t="str">
        <f>B27</f>
        <v>M1</v>
      </c>
      <c r="F394">
        <v>2.3781867E7</v>
      </c>
      <c r="G394">
        <v>2.1619981E7</v>
      </c>
      <c r="H394" s="87" t="s">
        <v>225</v>
      </c>
    </row>
    <row r="395">
      <c r="B395" t="s">
        <v>452</v>
      </c>
      <c r="C395" t="str">
        <f>B27</f>
        <v>M1</v>
      </c>
      <c r="F395">
        <v>2.3786763E7</v>
      </c>
      <c r="G395">
        <v>2.1624877E7</v>
      </c>
      <c r="H395" s="87" t="s">
        <v>222</v>
      </c>
    </row>
    <row r="396">
      <c r="B396" t="s">
        <v>453</v>
      </c>
      <c r="C396" t="str">
        <f>B27</f>
        <v>M1</v>
      </c>
      <c r="F396">
        <v>2.3980433E7</v>
      </c>
      <c r="G396">
        <v>2.1834286E7</v>
      </c>
      <c r="H396" s="87" t="s">
        <v>234</v>
      </c>
    </row>
    <row r="397">
      <c r="B397" t="s">
        <v>454</v>
      </c>
      <c r="C397" t="str">
        <f>B27</f>
        <v>M1</v>
      </c>
      <c r="F397">
        <v>2.3996887E7</v>
      </c>
      <c r="G397">
        <v>2.185074E7</v>
      </c>
      <c r="H397" s="87" t="s">
        <v>234</v>
      </c>
    </row>
    <row r="398">
      <c r="B398" t="s">
        <v>455</v>
      </c>
      <c r="C398" t="str">
        <f>B27</f>
        <v>M1</v>
      </c>
      <c r="F398">
        <v>2.4401989E7</v>
      </c>
      <c r="G398">
        <v>2.2255842E7</v>
      </c>
      <c r="H398" s="87" t="s">
        <v>234</v>
      </c>
    </row>
    <row r="399">
      <c r="B399" t="s">
        <v>456</v>
      </c>
      <c r="C399" t="str">
        <f>B27</f>
        <v>M1</v>
      </c>
      <c r="F399">
        <v>2.4419496E7</v>
      </c>
      <c r="G399">
        <v>2.2273349E7</v>
      </c>
      <c r="H399" s="87" t="s">
        <v>165</v>
      </c>
    </row>
    <row r="400">
      <c r="B400" t="s">
        <v>457</v>
      </c>
      <c r="C400" t="str">
        <f>B27</f>
        <v>M1</v>
      </c>
      <c r="F400">
        <v>2.4433677E7</v>
      </c>
      <c r="G400">
        <v>2.228753E7</v>
      </c>
      <c r="H400" s="87" t="s">
        <v>177</v>
      </c>
    </row>
    <row r="401">
      <c r="B401" t="s">
        <v>458</v>
      </c>
      <c r="C401" t="str">
        <f>B27</f>
        <v>M1</v>
      </c>
      <c r="F401">
        <v>2.8778515E7</v>
      </c>
      <c r="G401">
        <v>2.6632368E7</v>
      </c>
      <c r="H401" s="87" t="s">
        <v>217</v>
      </c>
    </row>
    <row r="402">
      <c r="B402" t="s">
        <v>459</v>
      </c>
      <c r="C402" t="str">
        <f>B27</f>
        <v>M1</v>
      </c>
      <c r="F402">
        <v>2.8787742E7</v>
      </c>
      <c r="G402">
        <v>2.6641595E7</v>
      </c>
      <c r="H402" s="87" t="s">
        <v>165</v>
      </c>
    </row>
    <row r="403">
      <c r="B403" t="s">
        <v>460</v>
      </c>
      <c r="C403" t="str">
        <f>B27</f>
        <v>M1</v>
      </c>
      <c r="F403">
        <v>8187045.0</v>
      </c>
      <c r="G403">
        <v>8319004.0</v>
      </c>
      <c r="H403" s="87" t="s">
        <v>169</v>
      </c>
    </row>
    <row r="404">
      <c r="B404" t="s">
        <v>461</v>
      </c>
      <c r="C404" t="str">
        <f>B27</f>
        <v>M1</v>
      </c>
      <c r="F404">
        <v>8225946.0</v>
      </c>
      <c r="G404">
        <v>8357905.0</v>
      </c>
      <c r="H404" s="87" t="s">
        <v>165</v>
      </c>
    </row>
    <row r="405">
      <c r="B405" t="s">
        <v>462</v>
      </c>
      <c r="C405" t="str">
        <f>B27</f>
        <v>M1</v>
      </c>
      <c r="F405">
        <v>8309974.0</v>
      </c>
      <c r="G405">
        <v>8441933.0</v>
      </c>
      <c r="H405" s="87" t="s">
        <v>165</v>
      </c>
    </row>
    <row r="406">
      <c r="B406" t="s">
        <v>463</v>
      </c>
      <c r="C406" t="str">
        <f>B27</f>
        <v>M1</v>
      </c>
      <c r="F406">
        <v>8320153.0</v>
      </c>
      <c r="G406">
        <v>8452112.0</v>
      </c>
      <c r="H406" s="87" t="s">
        <v>172</v>
      </c>
    </row>
    <row r="407">
      <c r="B407" t="s">
        <v>464</v>
      </c>
      <c r="C407" t="str">
        <f>B27</f>
        <v>M1</v>
      </c>
      <c r="F407">
        <v>8365184.0</v>
      </c>
      <c r="G407">
        <v>8497143.0</v>
      </c>
      <c r="H407" s="87" t="s">
        <v>165</v>
      </c>
    </row>
    <row r="408">
      <c r="B408" t="s">
        <v>465</v>
      </c>
      <c r="C408" t="str">
        <f>B27</f>
        <v>M1</v>
      </c>
      <c r="F408">
        <v>8369453.0</v>
      </c>
      <c r="G408">
        <v>8501412.0</v>
      </c>
      <c r="H408" s="87" t="s">
        <v>177</v>
      </c>
    </row>
    <row r="409">
      <c r="B409" t="s">
        <v>466</v>
      </c>
      <c r="C409" t="str">
        <f>B27</f>
        <v>M1</v>
      </c>
      <c r="F409">
        <v>8369465.0</v>
      </c>
      <c r="G409">
        <v>8501424.0</v>
      </c>
      <c r="H409" s="87" t="s">
        <v>172</v>
      </c>
    </row>
    <row r="410">
      <c r="B410" t="s">
        <v>467</v>
      </c>
      <c r="C410" t="str">
        <f>B27</f>
        <v>M1</v>
      </c>
      <c r="F410">
        <v>8378998.0</v>
      </c>
      <c r="G410">
        <v>8510957.0</v>
      </c>
      <c r="H410" s="87" t="s">
        <v>172</v>
      </c>
    </row>
    <row r="411">
      <c r="B411" t="s">
        <v>468</v>
      </c>
      <c r="C411" t="str">
        <f>B27</f>
        <v>M1</v>
      </c>
      <c r="F411">
        <v>8480806.0</v>
      </c>
      <c r="G411">
        <v>8612765.0</v>
      </c>
      <c r="H411" s="87" t="s">
        <v>169</v>
      </c>
    </row>
    <row r="412">
      <c r="B412" t="s">
        <v>469</v>
      </c>
      <c r="C412" t="str">
        <f>B27</f>
        <v>M1</v>
      </c>
      <c r="F412">
        <v>8645197.0</v>
      </c>
      <c r="G412">
        <v>8777156.0</v>
      </c>
      <c r="H412" s="87" t="s">
        <v>177</v>
      </c>
    </row>
    <row r="413">
      <c r="B413" t="s">
        <v>470</v>
      </c>
      <c r="C413" t="str">
        <f>B27</f>
        <v>M1</v>
      </c>
      <c r="F413">
        <v>8340502.0</v>
      </c>
      <c r="G413">
        <v>8472461.0</v>
      </c>
      <c r="H413" s="87" t="s">
        <v>165</v>
      </c>
    </row>
    <row r="414">
      <c r="B414" t="s">
        <v>471</v>
      </c>
      <c r="C414" t="str">
        <f t="shared" ref="C414:C415" si="1">B27</f>
        <v>M1</v>
      </c>
      <c r="F414">
        <v>2.1072781E7</v>
      </c>
      <c r="G414">
        <v>1.8910895E7</v>
      </c>
      <c r="H414" s="87" t="s">
        <v>175</v>
      </c>
    </row>
    <row r="415">
      <c r="B415" s="66" t="s">
        <v>472</v>
      </c>
      <c r="C415" t="str">
        <f t="shared" si="1"/>
        <v>M1~</v>
      </c>
      <c r="D415" s="66" t="s">
        <v>473</v>
      </c>
      <c r="E415" s="66" t="s">
        <v>474</v>
      </c>
      <c r="F415">
        <v>2.1834863E7</v>
      </c>
      <c r="G415">
        <v>1.9672977E7</v>
      </c>
      <c r="H415" s="85" t="s">
        <v>307</v>
      </c>
    </row>
    <row r="416">
      <c r="B416" s="66" t="s">
        <v>473</v>
      </c>
      <c r="C416" t="str">
        <f>B28</f>
        <v>M1~</v>
      </c>
      <c r="D416" s="66" t="s">
        <v>472</v>
      </c>
      <c r="E416" s="66" t="s">
        <v>474</v>
      </c>
      <c r="F416">
        <v>2.1834863E7</v>
      </c>
      <c r="G416">
        <v>1.9672977E7</v>
      </c>
      <c r="H416" s="85" t="s">
        <v>307</v>
      </c>
    </row>
    <row r="417">
      <c r="B417" s="66" t="s">
        <v>475</v>
      </c>
      <c r="C417" t="str">
        <f>B28</f>
        <v>M1~</v>
      </c>
      <c r="E417" s="66" t="s">
        <v>4</v>
      </c>
      <c r="F417">
        <v>1.4923461E7</v>
      </c>
      <c r="G417">
        <v>1.2811526E7</v>
      </c>
      <c r="H417" s="85" t="s">
        <v>476</v>
      </c>
    </row>
    <row r="418">
      <c r="B418" s="66" t="s">
        <v>477</v>
      </c>
      <c r="C418" t="str">
        <f>B28</f>
        <v>M1~</v>
      </c>
      <c r="E418" s="66" t="s">
        <v>478</v>
      </c>
      <c r="F418">
        <v>2.1229717E7</v>
      </c>
      <c r="G418">
        <v>1.9067831E7</v>
      </c>
      <c r="H418" s="85" t="s">
        <v>217</v>
      </c>
    </row>
    <row r="419">
      <c r="B419" t="s">
        <v>479</v>
      </c>
      <c r="C419" t="str">
        <f>B28</f>
        <v>M1~</v>
      </c>
      <c r="F419">
        <v>7378628.0</v>
      </c>
      <c r="G419">
        <v>7510587.0</v>
      </c>
      <c r="H419" s="87" t="s">
        <v>172</v>
      </c>
    </row>
    <row r="420">
      <c r="B420" t="s">
        <v>480</v>
      </c>
      <c r="C420" t="str">
        <f>B28</f>
        <v>M1~</v>
      </c>
      <c r="F420">
        <v>8064301.0</v>
      </c>
      <c r="G420">
        <v>8196260.0</v>
      </c>
      <c r="H420" s="87" t="s">
        <v>177</v>
      </c>
    </row>
    <row r="421">
      <c r="B421" s="66" t="s">
        <v>481</v>
      </c>
      <c r="C421" t="str">
        <f>B28</f>
        <v>M1~</v>
      </c>
      <c r="E421" s="66" t="s">
        <v>482</v>
      </c>
      <c r="F421">
        <v>8811347.0</v>
      </c>
      <c r="G421">
        <v>8943306.0</v>
      </c>
      <c r="H421" s="87" t="s">
        <v>165</v>
      </c>
    </row>
    <row r="422">
      <c r="B422" t="s">
        <v>483</v>
      </c>
      <c r="C422" t="str">
        <f>B28</f>
        <v>M1~</v>
      </c>
      <c r="F422">
        <v>9411414.0</v>
      </c>
      <c r="G422">
        <v>9573805.0</v>
      </c>
      <c r="H422" s="89" t="s">
        <v>177</v>
      </c>
    </row>
    <row r="423">
      <c r="B423" t="s">
        <v>484</v>
      </c>
      <c r="C423" t="str">
        <f>B28</f>
        <v>M1~</v>
      </c>
      <c r="F423">
        <v>9767079.0</v>
      </c>
      <c r="G423">
        <v>9929470.0</v>
      </c>
      <c r="H423" s="87" t="s">
        <v>165</v>
      </c>
    </row>
    <row r="424">
      <c r="B424" t="s">
        <v>485</v>
      </c>
      <c r="C424" t="str">
        <f>B28</f>
        <v>M1~</v>
      </c>
      <c r="F424">
        <v>9899837.0</v>
      </c>
      <c r="G424">
        <v>1.0062228E7</v>
      </c>
      <c r="H424" s="87" t="s">
        <v>217</v>
      </c>
    </row>
    <row r="425">
      <c r="B425" t="s">
        <v>486</v>
      </c>
      <c r="C425" t="str">
        <f>B28</f>
        <v>M1~</v>
      </c>
      <c r="F425">
        <v>1.3666831E7</v>
      </c>
      <c r="G425">
        <v>1.1511155E7</v>
      </c>
      <c r="H425" s="87" t="s">
        <v>225</v>
      </c>
    </row>
    <row r="426">
      <c r="B426" t="s">
        <v>487</v>
      </c>
      <c r="C426" t="str">
        <f>B28</f>
        <v>M1~</v>
      </c>
      <c r="F426">
        <v>1.412283E7</v>
      </c>
      <c r="G426">
        <v>1.2002124E7</v>
      </c>
      <c r="H426" s="87" t="s">
        <v>169</v>
      </c>
    </row>
    <row r="427">
      <c r="B427" t="s">
        <v>488</v>
      </c>
      <c r="C427" t="str">
        <f>B28</f>
        <v>M1~</v>
      </c>
      <c r="F427">
        <v>1.5631065E7</v>
      </c>
      <c r="G427">
        <v>1.3519185E7</v>
      </c>
      <c r="H427" s="87" t="s">
        <v>177</v>
      </c>
    </row>
    <row r="428">
      <c r="B428" t="s">
        <v>489</v>
      </c>
      <c r="C428" t="str">
        <f>B28</f>
        <v>M1~</v>
      </c>
      <c r="F428">
        <v>1.6700935E7</v>
      </c>
      <c r="G428">
        <v>1.4589055E7</v>
      </c>
      <c r="H428" s="87" t="s">
        <v>307</v>
      </c>
    </row>
    <row r="429">
      <c r="B429" t="s">
        <v>490</v>
      </c>
      <c r="C429" t="str">
        <f>B28</f>
        <v>M1~</v>
      </c>
      <c r="F429">
        <v>1.8045037E7</v>
      </c>
      <c r="G429">
        <v>1.5933157E7</v>
      </c>
      <c r="H429" s="87" t="s">
        <v>165</v>
      </c>
    </row>
    <row r="430">
      <c r="B430" t="s">
        <v>491</v>
      </c>
      <c r="C430" t="str">
        <f>B28</f>
        <v>M1~</v>
      </c>
      <c r="F430">
        <v>1.8969468E7</v>
      </c>
      <c r="G430">
        <v>1.6857588E7</v>
      </c>
      <c r="H430" s="87" t="s">
        <v>172</v>
      </c>
    </row>
    <row r="431">
      <c r="B431" t="s">
        <v>492</v>
      </c>
      <c r="C431" t="str">
        <f>B28</f>
        <v>M1~</v>
      </c>
      <c r="F431">
        <v>1.8975759E7</v>
      </c>
      <c r="G431">
        <v>1.6863879E7</v>
      </c>
      <c r="H431" s="87" t="s">
        <v>165</v>
      </c>
    </row>
    <row r="432">
      <c r="B432" t="s">
        <v>493</v>
      </c>
      <c r="C432" t="str">
        <f>B28</f>
        <v>M1~</v>
      </c>
      <c r="F432">
        <v>2.1270308E7</v>
      </c>
      <c r="G432">
        <v>1.9108422E7</v>
      </c>
      <c r="H432" s="87" t="s">
        <v>165</v>
      </c>
    </row>
    <row r="433">
      <c r="B433" t="s">
        <v>494</v>
      </c>
      <c r="C433" t="str">
        <f>B28</f>
        <v>M1~</v>
      </c>
      <c r="F433">
        <v>2.1392977E7</v>
      </c>
      <c r="G433">
        <v>1.9231091E7</v>
      </c>
      <c r="H433" s="87" t="s">
        <v>222</v>
      </c>
    </row>
    <row r="434">
      <c r="B434" t="s">
        <v>495</v>
      </c>
      <c r="C434" t="str">
        <f>B28</f>
        <v>M1~</v>
      </c>
      <c r="F434">
        <v>2.1531897E7</v>
      </c>
      <c r="G434">
        <v>1.9370011E7</v>
      </c>
      <c r="H434" s="87" t="s">
        <v>172</v>
      </c>
    </row>
    <row r="435">
      <c r="B435" t="s">
        <v>496</v>
      </c>
      <c r="C435" t="str">
        <f>B28</f>
        <v>M1~</v>
      </c>
      <c r="F435">
        <v>2.2622775E7</v>
      </c>
      <c r="G435">
        <v>2.0460889E7</v>
      </c>
      <c r="H435" s="87" t="s">
        <v>177</v>
      </c>
    </row>
    <row r="436">
      <c r="B436" t="s">
        <v>497</v>
      </c>
      <c r="C436" t="str">
        <f>B28</f>
        <v>M1~</v>
      </c>
      <c r="F436">
        <v>2.2852111E7</v>
      </c>
      <c r="G436">
        <v>2.0690225E7</v>
      </c>
      <c r="H436" s="87" t="s">
        <v>175</v>
      </c>
    </row>
    <row r="437">
      <c r="B437" t="s">
        <v>498</v>
      </c>
      <c r="C437" t="str">
        <f>B28</f>
        <v>M1~</v>
      </c>
      <c r="F437">
        <v>2.3441702E7</v>
      </c>
      <c r="G437">
        <v>2.1279816E7</v>
      </c>
      <c r="H437" s="87" t="s">
        <v>165</v>
      </c>
    </row>
    <row r="438">
      <c r="B438" t="s">
        <v>499</v>
      </c>
      <c r="C438" t="str">
        <f>C29</f>
        <v>M1a</v>
      </c>
      <c r="F438">
        <v>1.4193991E7</v>
      </c>
      <c r="G438">
        <v>1.2073285E7</v>
      </c>
      <c r="H438" s="87" t="s">
        <v>165</v>
      </c>
    </row>
    <row r="439">
      <c r="B439" t="s">
        <v>500</v>
      </c>
      <c r="C439" t="str">
        <f>C29</f>
        <v>M1a</v>
      </c>
      <c r="F439">
        <v>1.4796147E7</v>
      </c>
      <c r="G439">
        <v>1.2684218E7</v>
      </c>
      <c r="H439" s="87" t="s">
        <v>175</v>
      </c>
    </row>
    <row r="440">
      <c r="B440" t="s">
        <v>501</v>
      </c>
      <c r="C440" t="str">
        <f>C29</f>
        <v>M1a</v>
      </c>
      <c r="F440">
        <v>1.6527122E7</v>
      </c>
      <c r="G440">
        <v>1.4415242E7</v>
      </c>
      <c r="H440" s="87" t="s">
        <v>225</v>
      </c>
    </row>
    <row r="441">
      <c r="B441" t="s">
        <v>502</v>
      </c>
      <c r="C441" t="str">
        <f>C29</f>
        <v>M1a</v>
      </c>
      <c r="F441">
        <v>1.6764117E7</v>
      </c>
      <c r="G441">
        <v>1.4652237E7</v>
      </c>
      <c r="H441" s="87" t="s">
        <v>234</v>
      </c>
    </row>
    <row r="442">
      <c r="B442" t="s">
        <v>503</v>
      </c>
      <c r="C442" t="str">
        <f>C29</f>
        <v>M1a</v>
      </c>
      <c r="F442">
        <v>1.8854932E7</v>
      </c>
      <c r="G442">
        <v>1.6743052E7</v>
      </c>
      <c r="H442" s="87" t="s">
        <v>177</v>
      </c>
    </row>
    <row r="443">
      <c r="B443" s="66" t="s">
        <v>504</v>
      </c>
      <c r="C443" t="str">
        <f>D30</f>
        <v>M1a1</v>
      </c>
      <c r="D443" s="15" t="s">
        <v>505</v>
      </c>
      <c r="F443">
        <v>1.6635832E7</v>
      </c>
      <c r="G443">
        <v>1.4523952E7</v>
      </c>
      <c r="H443" s="85" t="s">
        <v>177</v>
      </c>
    </row>
    <row r="444">
      <c r="B444" t="s">
        <v>505</v>
      </c>
      <c r="C444" t="str">
        <f>D30</f>
        <v>M1a1</v>
      </c>
      <c r="D444" s="66" t="s">
        <v>504</v>
      </c>
      <c r="F444">
        <v>1.6635832E7</v>
      </c>
      <c r="G444">
        <v>1.4523952E7</v>
      </c>
      <c r="H444" s="87" t="s">
        <v>177</v>
      </c>
    </row>
    <row r="445">
      <c r="B445" t="s">
        <v>506</v>
      </c>
      <c r="C445" t="str">
        <f>D30</f>
        <v>M1a1</v>
      </c>
      <c r="F445">
        <v>7416383.0</v>
      </c>
      <c r="G445">
        <v>7548342.0</v>
      </c>
      <c r="H445" s="87" t="s">
        <v>217</v>
      </c>
    </row>
    <row r="446">
      <c r="B446" s="66" t="s">
        <v>507</v>
      </c>
      <c r="C446" t="str">
        <f>E31</f>
        <v>M1a1a</v>
      </c>
      <c r="D446" s="66" t="s">
        <v>508</v>
      </c>
      <c r="F446">
        <v>8872065.0</v>
      </c>
      <c r="G446">
        <v>9004024.0</v>
      </c>
      <c r="H446" s="87" t="s">
        <v>165</v>
      </c>
    </row>
    <row r="447">
      <c r="B447" s="66" t="s">
        <v>508</v>
      </c>
      <c r="C447" t="str">
        <f>E31</f>
        <v>M1a1a</v>
      </c>
      <c r="D447" s="66" t="s">
        <v>507</v>
      </c>
      <c r="F447">
        <v>8872065.0</v>
      </c>
      <c r="G447">
        <v>9004024.0</v>
      </c>
      <c r="H447" s="87" t="s">
        <v>165</v>
      </c>
    </row>
    <row r="448">
      <c r="B448" s="66" t="s">
        <v>509</v>
      </c>
      <c r="C448" t="str">
        <f>E31</f>
        <v>M1a1a</v>
      </c>
      <c r="F448">
        <v>8547532.0</v>
      </c>
      <c r="G448">
        <v>8679491.0</v>
      </c>
      <c r="H448" s="85" t="s">
        <v>177</v>
      </c>
    </row>
    <row r="449">
      <c r="B449" s="66" t="s">
        <v>510</v>
      </c>
      <c r="C449" t="str">
        <f>E31</f>
        <v>M1a1a</v>
      </c>
      <c r="D449" s="66" t="s">
        <v>4</v>
      </c>
      <c r="F449">
        <v>1.6324762E7</v>
      </c>
      <c r="G449">
        <v>1.4212882E7</v>
      </c>
      <c r="H449" s="85" t="s">
        <v>217</v>
      </c>
    </row>
    <row r="450">
      <c r="B450" s="66" t="s">
        <v>511</v>
      </c>
      <c r="C450" t="str">
        <f>E31</f>
        <v>M1a1a</v>
      </c>
      <c r="F450">
        <v>7244645.0</v>
      </c>
      <c r="G450">
        <v>7376604.0</v>
      </c>
      <c r="H450" s="85" t="s">
        <v>284</v>
      </c>
    </row>
    <row r="451">
      <c r="B451" s="66" t="s">
        <v>506</v>
      </c>
      <c r="C451" t="str">
        <f>E31</f>
        <v>M1a1a</v>
      </c>
      <c r="F451">
        <v>7416383.0</v>
      </c>
      <c r="G451">
        <v>7548342.0</v>
      </c>
      <c r="H451" s="85" t="s">
        <v>217</v>
      </c>
    </row>
    <row r="452">
      <c r="B452" s="66" t="s">
        <v>512</v>
      </c>
      <c r="C452" t="str">
        <f>E31</f>
        <v>M1a1a</v>
      </c>
      <c r="F452">
        <v>7731507.0</v>
      </c>
      <c r="G452">
        <v>7863466.0</v>
      </c>
      <c r="H452" s="85" t="s">
        <v>175</v>
      </c>
    </row>
    <row r="453">
      <c r="B453" s="66" t="s">
        <v>513</v>
      </c>
      <c r="C453" t="str">
        <f>E31</f>
        <v>M1a1a</v>
      </c>
      <c r="F453">
        <v>8022892.0</v>
      </c>
      <c r="G453">
        <v>8154851.0</v>
      </c>
      <c r="H453" s="85" t="s">
        <v>165</v>
      </c>
    </row>
    <row r="454">
      <c r="B454" s="66" t="s">
        <v>514</v>
      </c>
      <c r="C454" t="str">
        <f>E31</f>
        <v>M1a1a</v>
      </c>
      <c r="F454">
        <v>8867037.0</v>
      </c>
      <c r="G454">
        <v>8998996.0</v>
      </c>
      <c r="H454" s="85" t="s">
        <v>165</v>
      </c>
    </row>
    <row r="455">
      <c r="B455" s="66" t="s">
        <v>515</v>
      </c>
      <c r="C455" t="str">
        <f>E31</f>
        <v>M1a1a</v>
      </c>
      <c r="F455">
        <v>1.5006247E7</v>
      </c>
      <c r="G455">
        <v>1.2894332E7</v>
      </c>
      <c r="H455" s="85" t="s">
        <v>165</v>
      </c>
    </row>
    <row r="456">
      <c r="B456" s="66" t="s">
        <v>516</v>
      </c>
      <c r="C456" t="str">
        <f>E31</f>
        <v>M1a1a</v>
      </c>
      <c r="F456">
        <v>1.5441425E7</v>
      </c>
      <c r="G456">
        <v>1.3329545E7</v>
      </c>
      <c r="H456" s="85" t="s">
        <v>165</v>
      </c>
    </row>
    <row r="457">
      <c r="B457" s="66" t="s">
        <v>517</v>
      </c>
      <c r="C457" t="str">
        <f>E31</f>
        <v>M1a1a</v>
      </c>
      <c r="F457">
        <v>1.557635E7</v>
      </c>
      <c r="G457">
        <v>1.346447E7</v>
      </c>
      <c r="H457" s="85" t="s">
        <v>169</v>
      </c>
    </row>
    <row r="458">
      <c r="B458" s="66" t="s">
        <v>518</v>
      </c>
      <c r="C458" t="str">
        <f>E31</f>
        <v>M1a1a</v>
      </c>
      <c r="F458">
        <v>1.7417323E7</v>
      </c>
      <c r="G458">
        <v>1.5305443E7</v>
      </c>
      <c r="H458" s="85" t="s">
        <v>175</v>
      </c>
    </row>
    <row r="459">
      <c r="B459" s="66" t="s">
        <v>519</v>
      </c>
      <c r="C459" t="str">
        <f>E31</f>
        <v>M1a1a</v>
      </c>
      <c r="F459">
        <v>1.8107412E7</v>
      </c>
      <c r="G459">
        <v>1.5995532E7</v>
      </c>
      <c r="H459" s="85" t="s">
        <v>169</v>
      </c>
    </row>
    <row r="460">
      <c r="B460" s="66" t="s">
        <v>520</v>
      </c>
      <c r="C460" t="str">
        <f>E31</f>
        <v>M1a1a</v>
      </c>
      <c r="F460">
        <v>1.8208202E7</v>
      </c>
      <c r="G460">
        <v>1.6096322E7</v>
      </c>
      <c r="H460" s="85" t="s">
        <v>284</v>
      </c>
    </row>
    <row r="461">
      <c r="B461" s="66" t="s">
        <v>521</v>
      </c>
      <c r="C461" t="str">
        <f>E31</f>
        <v>M1a1a</v>
      </c>
      <c r="F461">
        <v>1.9339054E7</v>
      </c>
      <c r="G461">
        <v>1.7227174E7</v>
      </c>
      <c r="H461" s="85" t="s">
        <v>177</v>
      </c>
    </row>
    <row r="462">
      <c r="B462" s="66" t="s">
        <v>522</v>
      </c>
      <c r="C462" t="str">
        <f>E31</f>
        <v>M1a1a</v>
      </c>
      <c r="F462">
        <v>2.295312E7</v>
      </c>
      <c r="G462">
        <v>2.0791234E7</v>
      </c>
      <c r="H462" s="85" t="s">
        <v>169</v>
      </c>
    </row>
    <row r="463">
      <c r="B463" s="66" t="s">
        <v>523</v>
      </c>
      <c r="C463" t="str">
        <f>E31</f>
        <v>M1a1a</v>
      </c>
      <c r="F463">
        <v>2.3150645E7</v>
      </c>
      <c r="G463">
        <v>2.0988759E7</v>
      </c>
      <c r="H463" s="85" t="s">
        <v>172</v>
      </c>
    </row>
    <row r="464">
      <c r="B464" s="66" t="s">
        <v>40</v>
      </c>
      <c r="C464" t="str">
        <f t="shared" ref="C464:C465" si="2">F32</f>
        <v>M1a1a1~</v>
      </c>
      <c r="F464">
        <v>1.4869681E7</v>
      </c>
      <c r="G464">
        <v>1.2757751E7</v>
      </c>
      <c r="H464" s="85" t="s">
        <v>165</v>
      </c>
    </row>
    <row r="465">
      <c r="B465" s="66" t="s">
        <v>513</v>
      </c>
      <c r="C465" t="str">
        <f t="shared" si="2"/>
        <v>M1a1a2</v>
      </c>
      <c r="F465">
        <v>8022892.0</v>
      </c>
      <c r="G465">
        <v>8154851.0</v>
      </c>
      <c r="H465" s="85" t="s">
        <v>165</v>
      </c>
    </row>
    <row r="466">
      <c r="B466" s="66" t="s">
        <v>517</v>
      </c>
      <c r="C466" t="str">
        <f>F33</f>
        <v>M1a1a2</v>
      </c>
      <c r="F466">
        <v>1.557635E7</v>
      </c>
      <c r="G466">
        <v>1.346447E7</v>
      </c>
      <c r="H466" s="85" t="s">
        <v>169</v>
      </c>
    </row>
    <row r="467">
      <c r="B467" s="66" t="s">
        <v>524</v>
      </c>
      <c r="C467" t="str">
        <f>F33</f>
        <v>M1a1a2</v>
      </c>
      <c r="F467">
        <v>2.280895E7</v>
      </c>
      <c r="G467">
        <v>2.0647064E7</v>
      </c>
      <c r="H467" s="85" t="s">
        <v>217</v>
      </c>
    </row>
    <row r="468">
      <c r="B468" s="66" t="s">
        <v>44</v>
      </c>
      <c r="C468" t="str">
        <f>G34</f>
        <v>M1a1a2a</v>
      </c>
      <c r="E468" s="66" t="s">
        <v>525</v>
      </c>
      <c r="F468">
        <v>1.5019719E7</v>
      </c>
      <c r="G468">
        <v>1.2907808E7</v>
      </c>
      <c r="H468" s="85" t="s">
        <v>284</v>
      </c>
    </row>
    <row r="469">
      <c r="B469" s="66" t="s">
        <v>526</v>
      </c>
      <c r="C469" t="str">
        <f>H35</f>
        <v>M1a1a2a1</v>
      </c>
      <c r="D469" s="66" t="s">
        <v>527</v>
      </c>
      <c r="F469">
        <v>8619592.0</v>
      </c>
      <c r="G469">
        <v>8751551.0</v>
      </c>
      <c r="H469" s="85" t="s">
        <v>165</v>
      </c>
    </row>
    <row r="470">
      <c r="B470" s="66" t="s">
        <v>527</v>
      </c>
      <c r="C470" t="str">
        <f>H35</f>
        <v>M1a1a2a1</v>
      </c>
      <c r="D470" s="66" t="s">
        <v>526</v>
      </c>
      <c r="F470">
        <v>8619592.0</v>
      </c>
      <c r="G470">
        <v>8751551.0</v>
      </c>
      <c r="H470" s="85" t="s">
        <v>165</v>
      </c>
    </row>
    <row r="471">
      <c r="B471" s="15" t="s">
        <v>528</v>
      </c>
      <c r="C471" t="str">
        <f>H35</f>
        <v>M1a1a2a1</v>
      </c>
      <c r="D471" s="15" t="s">
        <v>529</v>
      </c>
      <c r="F471" s="84">
        <v>8620324.0</v>
      </c>
      <c r="G471" s="84">
        <v>8752283.0</v>
      </c>
      <c r="H471" s="85" t="s">
        <v>165</v>
      </c>
    </row>
    <row r="472">
      <c r="B472" s="15" t="s">
        <v>529</v>
      </c>
      <c r="C472" t="str">
        <f t="shared" ref="C472:C473" si="3">H35</f>
        <v>M1a1a2a1</v>
      </c>
      <c r="D472" s="15" t="s">
        <v>528</v>
      </c>
      <c r="F472" s="84">
        <v>8620324.0</v>
      </c>
      <c r="G472" s="84">
        <v>8752283.0</v>
      </c>
      <c r="H472" s="85" t="s">
        <v>165</v>
      </c>
    </row>
    <row r="473">
      <c r="B473" s="15" t="s">
        <v>530</v>
      </c>
      <c r="C473" t="str">
        <f t="shared" si="3"/>
        <v>M1a2a2a1~</v>
      </c>
      <c r="D473" s="15" t="s">
        <v>531</v>
      </c>
      <c r="E473" s="86" t="s">
        <v>532</v>
      </c>
      <c r="F473" s="84">
        <v>1.7678803E7</v>
      </c>
      <c r="G473" s="84">
        <v>1.5566923E7</v>
      </c>
      <c r="H473" s="85" t="s">
        <v>165</v>
      </c>
    </row>
    <row r="474">
      <c r="B474" s="15" t="s">
        <v>531</v>
      </c>
      <c r="C474" t="str">
        <f t="shared" ref="C474:C475" si="4">H36</f>
        <v>M1a2a2a1~</v>
      </c>
      <c r="D474" s="15" t="s">
        <v>530</v>
      </c>
      <c r="E474" s="86" t="s">
        <v>532</v>
      </c>
      <c r="F474" s="84">
        <v>1.7678803E7</v>
      </c>
      <c r="G474" s="84">
        <v>1.5566923E7</v>
      </c>
      <c r="H474" s="85" t="s">
        <v>165</v>
      </c>
    </row>
    <row r="475">
      <c r="B475" s="15" t="s">
        <v>533</v>
      </c>
      <c r="C475" t="str">
        <f t="shared" si="4"/>
        <v>M1a2a2a2~</v>
      </c>
      <c r="F475" s="93">
        <v>8212218.0</v>
      </c>
      <c r="G475" s="84">
        <v>8344177.0</v>
      </c>
      <c r="H475" s="85" t="s">
        <v>165</v>
      </c>
    </row>
    <row r="476">
      <c r="B476" s="15" t="s">
        <v>534</v>
      </c>
      <c r="C476" t="str">
        <f>H37</f>
        <v>M1a2a2a2~</v>
      </c>
      <c r="F476" s="84">
        <v>9840359.0</v>
      </c>
      <c r="G476" s="84">
        <v>1.000275E7</v>
      </c>
      <c r="H476" s="85" t="s">
        <v>169</v>
      </c>
    </row>
    <row r="477">
      <c r="B477" s="15" t="s">
        <v>535</v>
      </c>
      <c r="C477" t="str">
        <f>H37</f>
        <v>M1a2a2a2~</v>
      </c>
      <c r="E477" s="86" t="s">
        <v>536</v>
      </c>
      <c r="F477" s="84">
        <v>8545089.0</v>
      </c>
      <c r="G477" s="84">
        <v>8677048.0</v>
      </c>
      <c r="H477" s="85" t="s">
        <v>177</v>
      </c>
    </row>
    <row r="478">
      <c r="B478" s="15" t="s">
        <v>537</v>
      </c>
      <c r="C478" t="str">
        <f>H37</f>
        <v>M1a2a2a2~</v>
      </c>
      <c r="F478" s="84">
        <v>1.7844157E7</v>
      </c>
      <c r="G478" s="84">
        <v>1.5732277E7</v>
      </c>
      <c r="H478" s="85" t="s">
        <v>169</v>
      </c>
    </row>
    <row r="479">
      <c r="B479" s="15" t="s">
        <v>538</v>
      </c>
      <c r="C479" t="str">
        <f>H37</f>
        <v>M1a2a2a2~</v>
      </c>
      <c r="F479" s="84">
        <v>7519846.0</v>
      </c>
      <c r="G479" s="84">
        <v>7651805.0</v>
      </c>
      <c r="H479" s="85" t="s">
        <v>217</v>
      </c>
    </row>
    <row r="480">
      <c r="B480" s="15" t="s">
        <v>539</v>
      </c>
      <c r="C480" t="str">
        <f>H37</f>
        <v>M1a2a2a2~</v>
      </c>
      <c r="F480" s="84">
        <v>7528865.0</v>
      </c>
      <c r="G480" s="84">
        <v>7660824.0</v>
      </c>
      <c r="H480" s="85" t="s">
        <v>217</v>
      </c>
    </row>
    <row r="481">
      <c r="B481" s="15" t="s">
        <v>540</v>
      </c>
      <c r="C481" t="str">
        <f>H37</f>
        <v>M1a2a2a2~</v>
      </c>
      <c r="F481" s="84">
        <v>7583062.0</v>
      </c>
      <c r="G481" s="84">
        <v>7715021.0</v>
      </c>
      <c r="H481" s="85" t="s">
        <v>177</v>
      </c>
    </row>
    <row r="482">
      <c r="B482" s="15" t="s">
        <v>541</v>
      </c>
      <c r="C482" t="str">
        <f>H37</f>
        <v>M1a2a2a2~</v>
      </c>
      <c r="F482" s="84">
        <v>7680906.0</v>
      </c>
      <c r="G482" s="84">
        <v>7812865.0</v>
      </c>
      <c r="H482" s="85" t="s">
        <v>177</v>
      </c>
    </row>
    <row r="483">
      <c r="B483" s="15" t="s">
        <v>542</v>
      </c>
      <c r="C483" t="str">
        <f>H37</f>
        <v>M1a2a2a2~</v>
      </c>
      <c r="F483" s="84">
        <v>7707247.0</v>
      </c>
      <c r="G483" s="84">
        <v>7839206.0</v>
      </c>
      <c r="H483" s="85" t="s">
        <v>165</v>
      </c>
    </row>
    <row r="484">
      <c r="B484" s="15" t="s">
        <v>543</v>
      </c>
      <c r="C484" t="str">
        <f>H37</f>
        <v>M1a2a2a2~</v>
      </c>
      <c r="F484" s="84">
        <v>7803606.0</v>
      </c>
      <c r="G484" s="84">
        <v>7935565.0</v>
      </c>
      <c r="H484" s="85" t="s">
        <v>217</v>
      </c>
    </row>
    <row r="485">
      <c r="B485" s="15" t="s">
        <v>544</v>
      </c>
      <c r="C485" t="str">
        <f>H37</f>
        <v>M1a2a2a2~</v>
      </c>
      <c r="F485" s="84">
        <v>7870593.0</v>
      </c>
      <c r="G485" s="84">
        <v>8002552.0</v>
      </c>
      <c r="H485" s="85" t="s">
        <v>307</v>
      </c>
    </row>
    <row r="486">
      <c r="B486" s="15" t="s">
        <v>545</v>
      </c>
      <c r="C486" t="str">
        <f>H37</f>
        <v>M1a2a2a2~</v>
      </c>
      <c r="F486" s="84">
        <v>8243993.0</v>
      </c>
      <c r="G486" s="84">
        <v>8375952.0</v>
      </c>
      <c r="H486" s="85" t="s">
        <v>172</v>
      </c>
    </row>
    <row r="487">
      <c r="B487" s="15" t="s">
        <v>546</v>
      </c>
      <c r="C487" t="str">
        <f>H37</f>
        <v>M1a2a2a2~</v>
      </c>
      <c r="F487" s="84">
        <v>8372862.0</v>
      </c>
      <c r="G487" s="84">
        <v>8504821.0</v>
      </c>
      <c r="H487" s="85" t="s">
        <v>165</v>
      </c>
    </row>
    <row r="488">
      <c r="B488" s="15" t="s">
        <v>547</v>
      </c>
      <c r="C488" t="str">
        <f>H37</f>
        <v>M1a2a2a2~</v>
      </c>
      <c r="F488" s="84">
        <v>8733591.0</v>
      </c>
      <c r="G488" s="84">
        <v>8865550.0</v>
      </c>
      <c r="H488" s="85" t="s">
        <v>165</v>
      </c>
    </row>
    <row r="489">
      <c r="B489" s="15" t="s">
        <v>548</v>
      </c>
      <c r="C489" t="str">
        <f>H37</f>
        <v>M1a2a2a2~</v>
      </c>
      <c r="F489" s="84">
        <v>9891791.0</v>
      </c>
      <c r="G489" s="84">
        <v>1.0054182E7</v>
      </c>
      <c r="H489" s="85" t="s">
        <v>307</v>
      </c>
    </row>
    <row r="490">
      <c r="B490" s="15" t="s">
        <v>549</v>
      </c>
      <c r="C490" t="str">
        <f>H37</f>
        <v>M1a2a2a2~</v>
      </c>
      <c r="F490" s="84">
        <v>1.4073836E7</v>
      </c>
      <c r="G490" s="84">
        <v>1.195313E7</v>
      </c>
      <c r="H490" s="85" t="s">
        <v>307</v>
      </c>
    </row>
    <row r="491">
      <c r="B491" s="15" t="s">
        <v>550</v>
      </c>
      <c r="C491" t="str">
        <f>H37</f>
        <v>M1a2a2a2~</v>
      </c>
      <c r="F491" s="84">
        <v>1.4097247E7</v>
      </c>
      <c r="G491" s="84">
        <v>1.1976541E7</v>
      </c>
      <c r="H491" s="85" t="s">
        <v>177</v>
      </c>
    </row>
    <row r="492">
      <c r="B492" s="15" t="s">
        <v>551</v>
      </c>
      <c r="C492" t="str">
        <f>H37</f>
        <v>M1a2a2a2~</v>
      </c>
      <c r="F492" s="93">
        <v>1.4116928E7</v>
      </c>
      <c r="G492" s="84">
        <v>1.1996222E7</v>
      </c>
      <c r="H492" s="85" t="s">
        <v>169</v>
      </c>
    </row>
    <row r="493">
      <c r="B493" s="15" t="s">
        <v>552</v>
      </c>
      <c r="C493" t="str">
        <f>H37</f>
        <v>M1a2a2a2~</v>
      </c>
      <c r="F493" s="93">
        <v>1.4238977E7</v>
      </c>
      <c r="G493" s="84">
        <v>1.2118271E7</v>
      </c>
      <c r="H493" s="85" t="s">
        <v>225</v>
      </c>
    </row>
    <row r="494">
      <c r="B494" s="15" t="s">
        <v>553</v>
      </c>
      <c r="C494" t="str">
        <f>H37</f>
        <v>M1a2a2a2~</v>
      </c>
      <c r="F494" s="93">
        <v>1.4265828E7</v>
      </c>
      <c r="G494" s="84">
        <v>1.2145122E7</v>
      </c>
      <c r="H494" s="85" t="s">
        <v>175</v>
      </c>
    </row>
    <row r="495">
      <c r="B495" s="15" t="s">
        <v>554</v>
      </c>
      <c r="C495" t="str">
        <f>H37</f>
        <v>M1a2a2a2~</v>
      </c>
      <c r="F495" s="93">
        <v>1.4265948E7</v>
      </c>
      <c r="G495" s="84">
        <v>1.2145242E7</v>
      </c>
      <c r="H495" s="85" t="s">
        <v>177</v>
      </c>
    </row>
    <row r="496">
      <c r="B496" s="15" t="s">
        <v>555</v>
      </c>
      <c r="C496" t="str">
        <f>H37</f>
        <v>M1a2a2a2~</v>
      </c>
      <c r="F496" s="93">
        <v>1.4292115E7</v>
      </c>
      <c r="G496" s="84">
        <v>1.2171409E7</v>
      </c>
      <c r="H496" s="85" t="s">
        <v>177</v>
      </c>
    </row>
    <row r="497">
      <c r="B497" s="15" t="s">
        <v>556</v>
      </c>
      <c r="C497" t="str">
        <f>H37</f>
        <v>M1a2a2a2~</v>
      </c>
      <c r="F497" s="84">
        <v>1.4772806E7</v>
      </c>
      <c r="G497" s="84">
        <v>1.2660875E7</v>
      </c>
      <c r="H497" s="85" t="s">
        <v>165</v>
      </c>
    </row>
    <row r="498">
      <c r="B498" s="15" t="s">
        <v>557</v>
      </c>
      <c r="C498" t="str">
        <f>H37</f>
        <v>M1a2a2a2~</v>
      </c>
      <c r="F498" s="84">
        <v>1.5361173E7</v>
      </c>
      <c r="G498" s="84">
        <v>1.3249293E7</v>
      </c>
      <c r="H498" s="85" t="s">
        <v>284</v>
      </c>
    </row>
    <row r="499">
      <c r="B499" s="15" t="s">
        <v>558</v>
      </c>
      <c r="C499" t="str">
        <f>H37</f>
        <v>M1a2a2a2~</v>
      </c>
      <c r="F499" s="84">
        <v>1.6355236E7</v>
      </c>
      <c r="G499" s="84">
        <v>1.4243356E7</v>
      </c>
      <c r="H499" s="85" t="s">
        <v>225</v>
      </c>
    </row>
    <row r="500">
      <c r="B500" s="15" t="s">
        <v>559</v>
      </c>
      <c r="C500" t="str">
        <f>H37</f>
        <v>M1a2a2a2~</v>
      </c>
      <c r="E500" s="86" t="s">
        <v>560</v>
      </c>
      <c r="F500" s="84">
        <v>1.6541971E7</v>
      </c>
      <c r="G500" s="84">
        <v>1.4430091E7</v>
      </c>
      <c r="H500" s="85" t="s">
        <v>177</v>
      </c>
    </row>
    <row r="501">
      <c r="B501" s="15" t="s">
        <v>561</v>
      </c>
      <c r="C501" t="str">
        <f>H37</f>
        <v>M1a2a2a2~</v>
      </c>
      <c r="F501" s="93">
        <v>1.6625031E7</v>
      </c>
      <c r="G501" s="84">
        <v>1.4513151E7</v>
      </c>
      <c r="H501" s="85" t="s">
        <v>177</v>
      </c>
    </row>
    <row r="502">
      <c r="B502" s="15" t="s">
        <v>562</v>
      </c>
      <c r="C502" t="str">
        <f>H37</f>
        <v>M1a2a2a2~</v>
      </c>
      <c r="F502" s="84">
        <v>1.666349E7</v>
      </c>
      <c r="G502" s="84">
        <v>1.455161E7</v>
      </c>
      <c r="H502" s="85" t="s">
        <v>284</v>
      </c>
    </row>
    <row r="503">
      <c r="B503" s="15" t="s">
        <v>563</v>
      </c>
      <c r="C503" t="str">
        <f>H37</f>
        <v>M1a2a2a2~</v>
      </c>
      <c r="F503" s="84">
        <v>1.6744143E7</v>
      </c>
      <c r="G503" s="84">
        <v>1.4632263E7</v>
      </c>
      <c r="H503" s="85" t="s">
        <v>175</v>
      </c>
    </row>
    <row r="504">
      <c r="B504" s="15" t="s">
        <v>564</v>
      </c>
      <c r="C504" t="str">
        <f>H37</f>
        <v>M1a2a2a2~</v>
      </c>
      <c r="F504" s="84">
        <v>1.6966249E7</v>
      </c>
      <c r="G504" s="84">
        <v>1.4854369E7</v>
      </c>
      <c r="H504" s="85" t="s">
        <v>177</v>
      </c>
    </row>
    <row r="505">
      <c r="B505" s="15" t="s">
        <v>565</v>
      </c>
      <c r="C505" t="str">
        <f>H37</f>
        <v>M1a2a2a2~</v>
      </c>
      <c r="E505" s="86" t="s">
        <v>566</v>
      </c>
      <c r="F505" s="84">
        <v>1.7167617E7</v>
      </c>
      <c r="G505" s="84">
        <v>1.5055737E7</v>
      </c>
      <c r="H505" s="85" t="s">
        <v>177</v>
      </c>
    </row>
    <row r="506">
      <c r="B506" s="15" t="s">
        <v>567</v>
      </c>
      <c r="C506" t="str">
        <f>H37</f>
        <v>M1a2a2a2~</v>
      </c>
      <c r="F506" s="84">
        <v>1.7852575E7</v>
      </c>
      <c r="G506" s="84">
        <v>1.5740695E7</v>
      </c>
      <c r="H506" s="85" t="s">
        <v>175</v>
      </c>
    </row>
    <row r="507">
      <c r="B507" s="15" t="s">
        <v>568</v>
      </c>
      <c r="C507" t="str">
        <f>H37</f>
        <v>M1a2a2a2~</v>
      </c>
      <c r="F507" s="84">
        <v>1.8186626E7</v>
      </c>
      <c r="G507" s="84">
        <v>1.6074746E7</v>
      </c>
      <c r="H507" s="85" t="s">
        <v>177</v>
      </c>
    </row>
    <row r="508">
      <c r="B508" s="15" t="s">
        <v>569</v>
      </c>
      <c r="C508" t="str">
        <f>H37</f>
        <v>M1a2a2a2~</v>
      </c>
      <c r="F508" s="84">
        <v>1.8725433E7</v>
      </c>
      <c r="G508" s="84">
        <v>1.6613553E7</v>
      </c>
      <c r="H508" s="85" t="s">
        <v>169</v>
      </c>
    </row>
    <row r="509">
      <c r="B509" s="15" t="s">
        <v>570</v>
      </c>
      <c r="C509" t="str">
        <f>H37</f>
        <v>M1a2a2a2~</v>
      </c>
      <c r="F509" s="84">
        <v>1.9068368E7</v>
      </c>
      <c r="G509" s="84">
        <v>1.6956488E7</v>
      </c>
      <c r="H509" s="85" t="s">
        <v>165</v>
      </c>
    </row>
    <row r="510">
      <c r="B510" s="15" t="s">
        <v>571</v>
      </c>
      <c r="C510" t="str">
        <f>H37</f>
        <v>M1a2a2a2~</v>
      </c>
      <c r="F510" s="84">
        <v>1.9315641E7</v>
      </c>
      <c r="G510" s="84">
        <v>1.7203761E7</v>
      </c>
      <c r="H510" s="85" t="s">
        <v>169</v>
      </c>
    </row>
    <row r="511">
      <c r="B511" s="15" t="s">
        <v>572</v>
      </c>
      <c r="C511" t="str">
        <f>H37</f>
        <v>M1a2a2a2~</v>
      </c>
      <c r="F511" s="84">
        <v>1.9341447E7</v>
      </c>
      <c r="G511" s="84">
        <v>1.7229567E7</v>
      </c>
      <c r="H511" s="85" t="s">
        <v>177</v>
      </c>
    </row>
    <row r="512">
      <c r="B512" s="15" t="s">
        <v>573</v>
      </c>
      <c r="C512" t="str">
        <f>H37</f>
        <v>M1a2a2a2~</v>
      </c>
      <c r="F512" s="84">
        <v>1.9444636E7</v>
      </c>
      <c r="G512" s="84">
        <v>1.7332756E7</v>
      </c>
      <c r="H512" s="85" t="s">
        <v>165</v>
      </c>
    </row>
    <row r="513">
      <c r="B513" s="15" t="s">
        <v>574</v>
      </c>
      <c r="C513" t="str">
        <f>H37</f>
        <v>M1a2a2a2~</v>
      </c>
      <c r="F513" s="84">
        <v>2.1145277E7</v>
      </c>
      <c r="G513" s="84">
        <v>1.8983391E7</v>
      </c>
      <c r="H513" s="85" t="s">
        <v>234</v>
      </c>
    </row>
    <row r="514">
      <c r="B514" s="15" t="s">
        <v>575</v>
      </c>
      <c r="C514" t="str">
        <f>H37</f>
        <v>M1a2a2a2~</v>
      </c>
      <c r="F514" s="84">
        <v>1.7513642E7</v>
      </c>
      <c r="G514" s="84">
        <v>1.5401762E7</v>
      </c>
      <c r="H514" s="85" t="s">
        <v>165</v>
      </c>
    </row>
    <row r="515">
      <c r="B515" s="15" t="s">
        <v>576</v>
      </c>
      <c r="C515" t="str">
        <f>H37</f>
        <v>M1a2a2a2~</v>
      </c>
      <c r="F515" s="84">
        <v>2.1221362E7</v>
      </c>
      <c r="G515" s="84">
        <v>1.9059476E7</v>
      </c>
      <c r="H515" s="85" t="s">
        <v>165</v>
      </c>
    </row>
    <row r="516">
      <c r="B516" s="15" t="s">
        <v>577</v>
      </c>
      <c r="C516" t="str">
        <f>H37</f>
        <v>M1a2a2a2~</v>
      </c>
      <c r="F516" s="84">
        <v>2.1231346E7</v>
      </c>
      <c r="G516" s="84">
        <v>1.906946E7</v>
      </c>
      <c r="H516" s="85" t="s">
        <v>217</v>
      </c>
    </row>
    <row r="517">
      <c r="B517" s="15" t="s">
        <v>578</v>
      </c>
      <c r="C517" t="str">
        <f>H37</f>
        <v>M1a2a2a2~</v>
      </c>
      <c r="F517" s="84">
        <v>2.1357947E7</v>
      </c>
      <c r="G517" s="84">
        <v>1.9196061E7</v>
      </c>
      <c r="H517" s="85" t="s">
        <v>225</v>
      </c>
    </row>
    <row r="518">
      <c r="B518" s="15" t="s">
        <v>579</v>
      </c>
      <c r="C518" t="str">
        <f>H37</f>
        <v>M1a2a2a2~</v>
      </c>
      <c r="F518" s="84">
        <v>2.1448467E7</v>
      </c>
      <c r="G518" s="84">
        <v>1.9286581E7</v>
      </c>
      <c r="H518" s="85" t="s">
        <v>175</v>
      </c>
    </row>
    <row r="519">
      <c r="B519" s="15" t="s">
        <v>580</v>
      </c>
      <c r="C519" t="str">
        <f>H37</f>
        <v>M1a2a2a2~</v>
      </c>
      <c r="F519" s="84">
        <v>2.1514652E7</v>
      </c>
      <c r="G519" s="84">
        <v>1.9352766E7</v>
      </c>
      <c r="H519" s="85" t="s">
        <v>217</v>
      </c>
    </row>
    <row r="520">
      <c r="B520" s="15" t="s">
        <v>581</v>
      </c>
      <c r="C520" t="str">
        <f>H37</f>
        <v>M1a2a2a2~</v>
      </c>
      <c r="E520" s="86" t="s">
        <v>582</v>
      </c>
      <c r="F520" s="93">
        <v>2.1557719E7</v>
      </c>
      <c r="G520" s="84">
        <v>1.9395833E7</v>
      </c>
      <c r="H520" s="85" t="s">
        <v>165</v>
      </c>
    </row>
    <row r="521">
      <c r="B521" s="15" t="s">
        <v>583</v>
      </c>
      <c r="C521" t="str">
        <f>H37</f>
        <v>M1a2a2a2~</v>
      </c>
      <c r="F521" s="84">
        <v>2.2784216E7</v>
      </c>
      <c r="G521" s="84">
        <v>2.062233E7</v>
      </c>
      <c r="H521" s="85" t="s">
        <v>177</v>
      </c>
    </row>
    <row r="522">
      <c r="B522" s="15" t="s">
        <v>584</v>
      </c>
      <c r="C522" t="str">
        <f>H37</f>
        <v>M1a2a2a2~</v>
      </c>
      <c r="F522" s="84">
        <v>2.279114E7</v>
      </c>
      <c r="G522" s="84">
        <v>2.0629254E7</v>
      </c>
      <c r="H522" s="85" t="s">
        <v>234</v>
      </c>
    </row>
    <row r="523">
      <c r="B523" s="15" t="s">
        <v>585</v>
      </c>
      <c r="C523" t="str">
        <f>H37</f>
        <v>M1a2a2a2~</v>
      </c>
      <c r="F523" s="84">
        <v>2.2802316E7</v>
      </c>
      <c r="G523" s="84">
        <v>2.064043E7</v>
      </c>
      <c r="H523" s="85" t="s">
        <v>169</v>
      </c>
    </row>
    <row r="524">
      <c r="B524" s="15" t="s">
        <v>52</v>
      </c>
      <c r="C524" t="str">
        <f t="shared" ref="C524:C526" si="5">I38</f>
        <v>M1a1a2a2a</v>
      </c>
      <c r="E524" s="85" t="s">
        <v>586</v>
      </c>
      <c r="F524" s="84">
        <v>2.1610301E7</v>
      </c>
      <c r="G524" s="84">
        <v>1.9448415E7</v>
      </c>
      <c r="H524" s="85" t="s">
        <v>217</v>
      </c>
    </row>
    <row r="525">
      <c r="B525" s="15" t="s">
        <v>54</v>
      </c>
      <c r="C525" t="str">
        <f t="shared" si="5"/>
        <v>M1a1a2a2b</v>
      </c>
      <c r="E525" s="85" t="s">
        <v>587</v>
      </c>
      <c r="F525" s="84">
        <v>2.1873287E7</v>
      </c>
      <c r="G525" s="84">
        <v>1.9711401E7</v>
      </c>
      <c r="H525" s="85" t="s">
        <v>177</v>
      </c>
    </row>
    <row r="526">
      <c r="B526" s="15" t="s">
        <v>588</v>
      </c>
      <c r="C526" t="str">
        <f t="shared" si="5"/>
        <v>M1a1a1a1b~</v>
      </c>
      <c r="F526" s="84">
        <v>7999341.0</v>
      </c>
      <c r="G526" s="84">
        <v>8131300.0</v>
      </c>
      <c r="H526" s="85" t="s">
        <v>284</v>
      </c>
    </row>
    <row r="527">
      <c r="B527" s="15" t="s">
        <v>589</v>
      </c>
      <c r="C527" t="str">
        <f>I40</f>
        <v>M1a1a1a1b~</v>
      </c>
      <c r="F527" s="84">
        <v>6807417.0</v>
      </c>
      <c r="G527" s="84">
        <v>6939376.0</v>
      </c>
      <c r="H527" s="85" t="s">
        <v>284</v>
      </c>
    </row>
    <row r="528">
      <c r="B528" s="15" t="s">
        <v>590</v>
      </c>
      <c r="C528" t="str">
        <f>I40</f>
        <v>M1a1a1a1b~</v>
      </c>
      <c r="F528" s="84">
        <v>6838413.0</v>
      </c>
      <c r="G528" s="84">
        <v>6970372.0</v>
      </c>
      <c r="H528" s="85" t="s">
        <v>284</v>
      </c>
    </row>
    <row r="529">
      <c r="B529" s="15" t="s">
        <v>591</v>
      </c>
      <c r="C529" t="str">
        <f t="shared" ref="C529:C530" si="6">I40</f>
        <v>M1a1a1a1b~</v>
      </c>
      <c r="F529" s="93">
        <v>7676637.0</v>
      </c>
      <c r="G529" s="84">
        <v>7808596.0</v>
      </c>
      <c r="H529" s="85" t="s">
        <v>175</v>
      </c>
    </row>
    <row r="530">
      <c r="B530" s="15" t="s">
        <v>592</v>
      </c>
      <c r="C530" t="str">
        <f t="shared" si="6"/>
        <v>M1a1a1a1c~</v>
      </c>
      <c r="F530" s="84">
        <v>1.7568668E7</v>
      </c>
      <c r="G530" s="84">
        <v>1.5456788E7</v>
      </c>
      <c r="H530" s="85" t="s">
        <v>169</v>
      </c>
    </row>
    <row r="531">
      <c r="B531" s="15" t="s">
        <v>593</v>
      </c>
      <c r="C531" t="str">
        <f>I41</f>
        <v>M1a1a1a1c~</v>
      </c>
      <c r="F531" s="84">
        <v>8145744.0</v>
      </c>
      <c r="G531" s="84">
        <v>8277703.0</v>
      </c>
      <c r="H531" s="85" t="s">
        <v>175</v>
      </c>
    </row>
    <row r="532">
      <c r="B532" s="15" t="s">
        <v>594</v>
      </c>
      <c r="C532" t="str">
        <f>I41</f>
        <v>M1a1a1a1c~</v>
      </c>
      <c r="F532" s="84">
        <v>8202129.0</v>
      </c>
      <c r="G532" s="84">
        <v>8334088.0</v>
      </c>
      <c r="H532" s="85" t="s">
        <v>177</v>
      </c>
    </row>
    <row r="533">
      <c r="B533" s="15" t="s">
        <v>595</v>
      </c>
      <c r="C533" t="str">
        <f>I41</f>
        <v>M1a1a1a1c~</v>
      </c>
      <c r="F533" s="84">
        <v>1.5597434E7</v>
      </c>
      <c r="G533" s="84">
        <v>1.3485554E7</v>
      </c>
      <c r="H533" s="85" t="s">
        <v>225</v>
      </c>
    </row>
    <row r="534">
      <c r="B534" s="15" t="s">
        <v>596</v>
      </c>
      <c r="C534" t="str">
        <f>I41</f>
        <v>M1a1a1a1c~</v>
      </c>
      <c r="F534" s="84">
        <v>1.7567694E7</v>
      </c>
      <c r="G534" s="84">
        <v>1.5455814E7</v>
      </c>
      <c r="H534" s="85" t="s">
        <v>165</v>
      </c>
    </row>
    <row r="535">
      <c r="B535" s="15" t="s">
        <v>597</v>
      </c>
      <c r="C535" t="str">
        <f>F42</f>
        <v>M1a1a3~</v>
      </c>
      <c r="E535" s="86" t="s">
        <v>598</v>
      </c>
      <c r="F535" s="84">
        <v>1.6960342E7</v>
      </c>
      <c r="G535" s="84">
        <v>1.4848462E7</v>
      </c>
      <c r="H535" s="85" t="s">
        <v>177</v>
      </c>
    </row>
    <row r="536">
      <c r="B536" s="15" t="s">
        <v>599</v>
      </c>
      <c r="C536" t="str">
        <f>F42</f>
        <v>M1a1a3~</v>
      </c>
      <c r="F536" s="84">
        <v>2.1284118E7</v>
      </c>
      <c r="G536" s="84">
        <v>1.9122232E7</v>
      </c>
      <c r="H536" s="85" t="s">
        <v>177</v>
      </c>
    </row>
    <row r="537">
      <c r="B537" s="15" t="s">
        <v>600</v>
      </c>
      <c r="C537" t="str">
        <f>F42</f>
        <v>M1a1a3~</v>
      </c>
      <c r="F537" s="84">
        <v>2.3795714E7</v>
      </c>
      <c r="G537" s="84">
        <v>2.1633828E7</v>
      </c>
      <c r="H537" s="85" t="s">
        <v>284</v>
      </c>
    </row>
    <row r="538">
      <c r="B538" s="15" t="s">
        <v>601</v>
      </c>
      <c r="C538" t="str">
        <f>G43</f>
        <v>M1a1a3a~</v>
      </c>
      <c r="E538" s="86" t="s">
        <v>602</v>
      </c>
      <c r="F538" s="84">
        <v>1.4492042E7</v>
      </c>
      <c r="G538" s="84">
        <v>1.2380239E7</v>
      </c>
      <c r="H538" s="85" t="s">
        <v>172</v>
      </c>
    </row>
    <row r="539">
      <c r="B539" s="15" t="s">
        <v>603</v>
      </c>
      <c r="C539" t="str">
        <f>G43</f>
        <v>M1a1a3a~</v>
      </c>
      <c r="F539" s="84">
        <v>2720899.0</v>
      </c>
      <c r="G539" s="84">
        <v>2852858.0</v>
      </c>
      <c r="H539" s="85" t="s">
        <v>175</v>
      </c>
    </row>
    <row r="540">
      <c r="B540" s="15" t="s">
        <v>604</v>
      </c>
      <c r="C540" t="str">
        <f>G43</f>
        <v>M1a1a3a~</v>
      </c>
      <c r="F540" s="84">
        <v>2672414.0</v>
      </c>
      <c r="G540" s="84">
        <v>2804373.0</v>
      </c>
      <c r="H540" s="85" t="s">
        <v>169</v>
      </c>
    </row>
    <row r="541">
      <c r="B541" s="15" t="s">
        <v>605</v>
      </c>
      <c r="C541" t="str">
        <f>G43</f>
        <v>M1a1a3a~</v>
      </c>
      <c r="F541" s="94">
        <v>6880665.0</v>
      </c>
      <c r="G541" s="95">
        <v>7012624.0</v>
      </c>
      <c r="H541" s="96" t="s">
        <v>175</v>
      </c>
    </row>
    <row r="542">
      <c r="B542" s="15" t="s">
        <v>606</v>
      </c>
      <c r="C542" t="str">
        <f>G43</f>
        <v>M1a1a3a~</v>
      </c>
      <c r="F542" s="84">
        <v>6994851.0</v>
      </c>
      <c r="G542" s="84">
        <v>7126810.0</v>
      </c>
      <c r="H542" s="85" t="s">
        <v>284</v>
      </c>
    </row>
    <row r="543">
      <c r="B543" s="15" t="s">
        <v>607</v>
      </c>
      <c r="C543" t="str">
        <f t="shared" ref="C543:C544" si="7">G43</f>
        <v>M1a1a3a~</v>
      </c>
      <c r="F543" s="84">
        <v>7574376.0</v>
      </c>
      <c r="G543" s="84">
        <v>7706335.0</v>
      </c>
      <c r="H543" s="85" t="s">
        <v>169</v>
      </c>
    </row>
    <row r="544">
      <c r="B544" s="15" t="s">
        <v>608</v>
      </c>
      <c r="C544" t="str">
        <f t="shared" si="7"/>
        <v>M1a1a3b</v>
      </c>
      <c r="F544" s="90">
        <v>2723942.0</v>
      </c>
      <c r="G544" s="84">
        <v>2855901.0</v>
      </c>
      <c r="H544" s="85" t="s">
        <v>169</v>
      </c>
    </row>
    <row r="545">
      <c r="B545" s="15" t="s">
        <v>609</v>
      </c>
      <c r="C545" t="str">
        <f>G44</f>
        <v>M1a1a3b</v>
      </c>
      <c r="F545" s="84">
        <v>1.8110438E7</v>
      </c>
      <c r="G545" s="84">
        <v>1.5998558E7</v>
      </c>
      <c r="H545" s="85" t="s">
        <v>177</v>
      </c>
    </row>
    <row r="546">
      <c r="B546" s="15" t="s">
        <v>610</v>
      </c>
      <c r="C546" t="str">
        <f>G44</f>
        <v>M1a1a3b</v>
      </c>
      <c r="F546" s="90">
        <v>2.2580315E7</v>
      </c>
      <c r="G546" s="84">
        <v>2.0418429E7</v>
      </c>
      <c r="H546" s="85" t="s">
        <v>177</v>
      </c>
    </row>
    <row r="547">
      <c r="B547" s="15" t="s">
        <v>611</v>
      </c>
      <c r="C547" t="str">
        <f>G44</f>
        <v>M1a1a3b</v>
      </c>
      <c r="F547" s="84">
        <v>2851943.0</v>
      </c>
      <c r="G547" s="84">
        <v>2983902.0</v>
      </c>
      <c r="H547" s="85" t="s">
        <v>172</v>
      </c>
    </row>
    <row r="548">
      <c r="B548" s="15" t="s">
        <v>612</v>
      </c>
      <c r="C548" t="str">
        <f>G44</f>
        <v>M1a1a3b</v>
      </c>
      <c r="F548" s="84">
        <v>8369136.0</v>
      </c>
      <c r="G548" s="84">
        <v>8501095.0</v>
      </c>
      <c r="H548" s="85" t="s">
        <v>172</v>
      </c>
    </row>
    <row r="549">
      <c r="B549" s="15" t="s">
        <v>613</v>
      </c>
      <c r="C549" t="str">
        <f>G44</f>
        <v>M1a1a3b</v>
      </c>
      <c r="F549" s="84">
        <v>1.4050849E7</v>
      </c>
      <c r="G549" s="84">
        <v>1.1930143E7</v>
      </c>
      <c r="H549" s="85" t="s">
        <v>169</v>
      </c>
    </row>
    <row r="550">
      <c r="B550" s="15" t="s">
        <v>614</v>
      </c>
      <c r="C550" t="str">
        <f>G44</f>
        <v>M1a1a3b</v>
      </c>
      <c r="F550" s="84">
        <v>1.4139507E7</v>
      </c>
      <c r="G550" s="84">
        <v>1.2018801E7</v>
      </c>
      <c r="H550" s="85" t="s">
        <v>172</v>
      </c>
    </row>
    <row r="551">
      <c r="B551" s="15" t="s">
        <v>615</v>
      </c>
      <c r="C551" t="str">
        <f>G44</f>
        <v>M1a1a3b</v>
      </c>
      <c r="F551" s="84">
        <v>1.505949E7</v>
      </c>
      <c r="G551" s="84">
        <v>1.2947582E7</v>
      </c>
      <c r="H551" s="85" t="s">
        <v>175</v>
      </c>
    </row>
    <row r="552">
      <c r="B552" s="15" t="s">
        <v>616</v>
      </c>
      <c r="C552" t="str">
        <f>G44</f>
        <v>M1a1a3b</v>
      </c>
      <c r="F552" s="84">
        <v>1.5733463E7</v>
      </c>
      <c r="G552" s="84">
        <v>1.3621583E7</v>
      </c>
      <c r="H552" s="85" t="s">
        <v>165</v>
      </c>
    </row>
    <row r="553">
      <c r="B553" s="15" t="s">
        <v>617</v>
      </c>
      <c r="C553" t="str">
        <f>G44</f>
        <v>M1a1a3b</v>
      </c>
      <c r="F553" s="84">
        <v>1.6970846E7</v>
      </c>
      <c r="G553" s="84">
        <v>1.4858966E7</v>
      </c>
      <c r="H553" s="85" t="s">
        <v>172</v>
      </c>
    </row>
    <row r="554">
      <c r="B554" s="15" t="s">
        <v>618</v>
      </c>
      <c r="C554" t="str">
        <f>G44</f>
        <v>M1a1a3b</v>
      </c>
      <c r="F554" s="84">
        <v>1.8050131E7</v>
      </c>
      <c r="G554" s="84">
        <v>1.5938251E7</v>
      </c>
      <c r="H554" s="85" t="s">
        <v>175</v>
      </c>
    </row>
    <row r="555">
      <c r="B555" s="15" t="s">
        <v>619</v>
      </c>
      <c r="C555" t="str">
        <f>G44</f>
        <v>M1a1a3b</v>
      </c>
      <c r="F555" s="84">
        <v>1.9478645E7</v>
      </c>
      <c r="G555" s="84">
        <v>1.7366765E7</v>
      </c>
      <c r="H555" s="85" t="s">
        <v>165</v>
      </c>
    </row>
    <row r="556">
      <c r="B556" s="15" t="s">
        <v>620</v>
      </c>
      <c r="C556" t="str">
        <f>G44</f>
        <v>M1a1a3b</v>
      </c>
      <c r="F556" s="84">
        <v>2.2806304E7</v>
      </c>
      <c r="G556" s="84">
        <v>2.0644418E7</v>
      </c>
      <c r="H556" s="85" t="s">
        <v>175</v>
      </c>
    </row>
    <row r="557">
      <c r="B557" s="15" t="s">
        <v>621</v>
      </c>
      <c r="C557" t="str">
        <f>G44</f>
        <v>M1a1a3b</v>
      </c>
      <c r="F557" s="84">
        <v>2.2994606E7</v>
      </c>
      <c r="G557" s="84">
        <v>2.083272E7</v>
      </c>
      <c r="H557" s="85" t="s">
        <v>222</v>
      </c>
    </row>
    <row r="558">
      <c r="B558" s="15" t="s">
        <v>622</v>
      </c>
      <c r="C558" t="str">
        <f t="shared" ref="C558:C559" si="8">G44</f>
        <v>M1a1a3b</v>
      </c>
      <c r="F558" s="84">
        <v>2.3281355E7</v>
      </c>
      <c r="G558" s="84">
        <v>2.1119469E7</v>
      </c>
      <c r="H558" s="85" t="s">
        <v>177</v>
      </c>
    </row>
    <row r="559">
      <c r="B559" s="15" t="s">
        <v>623</v>
      </c>
      <c r="C559" t="str">
        <f t="shared" si="8"/>
        <v>M1a1a3b~</v>
      </c>
      <c r="F559" s="84">
        <v>6984103.0</v>
      </c>
      <c r="G559" s="84">
        <v>7116062.0</v>
      </c>
      <c r="H559" s="85" t="s">
        <v>217</v>
      </c>
    </row>
    <row r="560">
      <c r="B560" s="15" t="s">
        <v>624</v>
      </c>
      <c r="C560" t="str">
        <f>G45</f>
        <v>M1a1a3b~</v>
      </c>
      <c r="F560" s="84">
        <v>7990628.0</v>
      </c>
      <c r="G560" s="84">
        <v>8122587.0</v>
      </c>
      <c r="H560" s="85" t="s">
        <v>234</v>
      </c>
    </row>
    <row r="561">
      <c r="B561" s="15" t="s">
        <v>625</v>
      </c>
      <c r="C561" t="str">
        <f>G45</f>
        <v>M1a1a3b~</v>
      </c>
      <c r="F561" s="84">
        <v>1.3996958E7</v>
      </c>
      <c r="G561" s="84">
        <v>1.1876252E7</v>
      </c>
      <c r="H561" s="85" t="s">
        <v>165</v>
      </c>
    </row>
    <row r="562">
      <c r="B562" s="15" t="s">
        <v>626</v>
      </c>
      <c r="C562" t="str">
        <f>G45</f>
        <v>M1a1a3b~</v>
      </c>
      <c r="F562" s="84">
        <v>1.4632848E7</v>
      </c>
      <c r="G562" s="84">
        <v>1.2520917E7</v>
      </c>
      <c r="H562" s="85" t="s">
        <v>284</v>
      </c>
    </row>
    <row r="563">
      <c r="B563" s="15" t="s">
        <v>627</v>
      </c>
      <c r="C563" t="str">
        <f>G45</f>
        <v>M1a1a3b~</v>
      </c>
      <c r="F563" s="84">
        <v>1.4743029E7</v>
      </c>
      <c r="G563" s="84">
        <v>1.2631097E7</v>
      </c>
      <c r="H563" s="85" t="s">
        <v>177</v>
      </c>
    </row>
    <row r="564">
      <c r="B564" s="15" t="s">
        <v>628</v>
      </c>
      <c r="C564" t="str">
        <f>G45</f>
        <v>M1a1a3b~</v>
      </c>
      <c r="F564" s="84">
        <v>1.5108821E7</v>
      </c>
      <c r="G564" s="84">
        <v>1.2996908E7</v>
      </c>
      <c r="H564" s="85" t="s">
        <v>284</v>
      </c>
    </row>
    <row r="565">
      <c r="B565" s="15" t="s">
        <v>629</v>
      </c>
      <c r="C565" t="str">
        <f>G45</f>
        <v>M1a1a3b~</v>
      </c>
      <c r="F565" s="84">
        <v>1.5910717E7</v>
      </c>
      <c r="G565" s="84">
        <v>1.3798837E7</v>
      </c>
      <c r="H565" s="85" t="s">
        <v>165</v>
      </c>
    </row>
    <row r="566">
      <c r="B566" s="15" t="s">
        <v>630</v>
      </c>
      <c r="C566" t="str">
        <f>G45</f>
        <v>M1a1a3b~</v>
      </c>
      <c r="F566" s="84">
        <v>1.6277784E7</v>
      </c>
      <c r="G566" s="84">
        <v>1.4165904E7</v>
      </c>
      <c r="H566" s="85" t="s">
        <v>234</v>
      </c>
    </row>
    <row r="567">
      <c r="B567" s="15" t="s">
        <v>631</v>
      </c>
      <c r="C567" t="str">
        <f>G45</f>
        <v>M1a1a3b~</v>
      </c>
      <c r="F567" s="84">
        <v>1.7014713E7</v>
      </c>
      <c r="G567" s="84">
        <v>1.4902833E7</v>
      </c>
      <c r="H567" s="85" t="s">
        <v>307</v>
      </c>
    </row>
    <row r="568">
      <c r="B568" s="15" t="s">
        <v>632</v>
      </c>
      <c r="C568" t="str">
        <f>G45</f>
        <v>M1a1a3b~</v>
      </c>
      <c r="F568" s="84">
        <v>1.8185841E7</v>
      </c>
      <c r="G568" s="84">
        <v>1.6073961E7</v>
      </c>
      <c r="H568" s="85" t="s">
        <v>177</v>
      </c>
    </row>
    <row r="569">
      <c r="B569" s="15" t="s">
        <v>633</v>
      </c>
      <c r="C569" t="str">
        <f>G45</f>
        <v>M1a1a3b~</v>
      </c>
      <c r="F569" s="84">
        <v>1.8630858E7</v>
      </c>
      <c r="G569" s="84">
        <v>1.6518978E7</v>
      </c>
      <c r="H569" s="85" t="s">
        <v>165</v>
      </c>
    </row>
    <row r="570">
      <c r="B570" s="15" t="s">
        <v>634</v>
      </c>
      <c r="C570" t="str">
        <f>G45</f>
        <v>M1a1a3b~</v>
      </c>
      <c r="F570" s="84">
        <v>2.8563495E7</v>
      </c>
      <c r="G570" s="84">
        <v>2.6417348E7</v>
      </c>
      <c r="H570" s="85" t="s">
        <v>177</v>
      </c>
    </row>
    <row r="571">
      <c r="B571" s="15" t="s">
        <v>635</v>
      </c>
      <c r="C571" t="str">
        <f>H46</f>
        <v>M1a1a3b1</v>
      </c>
      <c r="F571" s="84">
        <v>1.4751334E7</v>
      </c>
      <c r="G571" s="84">
        <v>1.2639403E7</v>
      </c>
      <c r="H571" s="85" t="s">
        <v>175</v>
      </c>
    </row>
    <row r="572">
      <c r="B572" s="15" t="s">
        <v>636</v>
      </c>
      <c r="C572" t="str">
        <f t="shared" ref="C572:C573" si="9">H46</f>
        <v>M1a1a3b1</v>
      </c>
      <c r="F572" s="84">
        <v>1.6334244E7</v>
      </c>
      <c r="G572" s="84">
        <v>1.4222364E7</v>
      </c>
      <c r="H572" s="85" t="s">
        <v>165</v>
      </c>
    </row>
    <row r="573">
      <c r="B573" s="15" t="s">
        <v>637</v>
      </c>
      <c r="C573" t="str">
        <f t="shared" si="9"/>
        <v>M1a1a3b1~</v>
      </c>
      <c r="F573" s="84">
        <v>8456245.0</v>
      </c>
      <c r="G573" s="84">
        <v>8588204.0</v>
      </c>
      <c r="H573" s="85" t="s">
        <v>172</v>
      </c>
    </row>
    <row r="574">
      <c r="B574" s="15" t="s">
        <v>638</v>
      </c>
      <c r="C574" t="str">
        <f>H47</f>
        <v>M1a1a3b1~</v>
      </c>
      <c r="F574" s="84">
        <v>8491698.0</v>
      </c>
      <c r="G574" s="84">
        <v>8623657.0</v>
      </c>
      <c r="H574" s="85" t="s">
        <v>222</v>
      </c>
    </row>
    <row r="575">
      <c r="B575" s="15" t="s">
        <v>639</v>
      </c>
      <c r="C575" t="str">
        <f>H47</f>
        <v>M1a1a3b1~</v>
      </c>
      <c r="F575" s="84">
        <v>9843427.0</v>
      </c>
      <c r="G575" s="84">
        <v>1.0005818E7</v>
      </c>
      <c r="H575" s="85" t="s">
        <v>172</v>
      </c>
    </row>
    <row r="576">
      <c r="B576" s="15" t="s">
        <v>625</v>
      </c>
      <c r="C576" t="str">
        <f>H47</f>
        <v>M1a1a3b1~</v>
      </c>
      <c r="F576" s="84">
        <v>1.3996958E7</v>
      </c>
      <c r="G576" s="84">
        <v>1.1876252E7</v>
      </c>
      <c r="H576" s="85" t="s">
        <v>165</v>
      </c>
    </row>
    <row r="577">
      <c r="B577" s="15" t="s">
        <v>640</v>
      </c>
      <c r="C577" t="str">
        <f>H47</f>
        <v>M1a1a3b1~</v>
      </c>
      <c r="F577" s="84">
        <v>1.6481545E7</v>
      </c>
      <c r="G577" s="84">
        <v>1.4369665E7</v>
      </c>
      <c r="H577" s="85" t="s">
        <v>307</v>
      </c>
    </row>
    <row r="578">
      <c r="B578" s="15" t="s">
        <v>641</v>
      </c>
      <c r="C578" t="str">
        <f>H47</f>
        <v>M1a1a3b1~</v>
      </c>
      <c r="F578" s="84">
        <v>1.7246382E7</v>
      </c>
      <c r="G578" s="84">
        <v>1.5134502E7</v>
      </c>
      <c r="H578" s="85" t="s">
        <v>222</v>
      </c>
    </row>
    <row r="579">
      <c r="B579" s="15" t="s">
        <v>642</v>
      </c>
      <c r="C579" t="str">
        <f>H47</f>
        <v>M1a1a3b1~</v>
      </c>
      <c r="E579" s="86" t="s">
        <v>643</v>
      </c>
      <c r="F579" s="84">
        <v>1.8561672E7</v>
      </c>
      <c r="G579" s="84">
        <v>1.6449792E7</v>
      </c>
      <c r="H579" s="85" t="s">
        <v>177</v>
      </c>
    </row>
    <row r="580">
      <c r="B580" s="15" t="s">
        <v>644</v>
      </c>
      <c r="C580" t="str">
        <f>H47</f>
        <v>M1a1a3b1~</v>
      </c>
      <c r="F580" s="84">
        <v>1.8612566E7</v>
      </c>
      <c r="G580" s="84">
        <v>1.6500686E7</v>
      </c>
      <c r="H580" s="85" t="s">
        <v>177</v>
      </c>
    </row>
    <row r="581">
      <c r="B581" s="15" t="s">
        <v>645</v>
      </c>
      <c r="C581" t="str">
        <f>H47</f>
        <v>M1a1a3b1~</v>
      </c>
      <c r="F581" s="84">
        <v>1.940132E7</v>
      </c>
      <c r="G581" s="84">
        <v>1.728944E7</v>
      </c>
      <c r="H581" s="85" t="s">
        <v>175</v>
      </c>
    </row>
    <row r="582">
      <c r="B582" s="15" t="s">
        <v>646</v>
      </c>
      <c r="C582" t="str">
        <f>I48</f>
        <v>M1a1a3b1a~</v>
      </c>
      <c r="F582" s="84">
        <v>6779737.0</v>
      </c>
      <c r="G582" s="84">
        <v>6911696.0</v>
      </c>
      <c r="H582" s="85" t="s">
        <v>169</v>
      </c>
    </row>
    <row r="583">
      <c r="B583" s="15" t="s">
        <v>647</v>
      </c>
      <c r="C583" t="str">
        <f>I48</f>
        <v>M1a1a3b1a~</v>
      </c>
      <c r="F583" s="84">
        <v>2683463.0</v>
      </c>
      <c r="G583" s="84">
        <v>2815422.0</v>
      </c>
      <c r="H583" s="85" t="s">
        <v>177</v>
      </c>
    </row>
    <row r="584">
      <c r="B584" s="15" t="s">
        <v>648</v>
      </c>
      <c r="C584" t="str">
        <f>I48</f>
        <v>M1a1a3b1a~</v>
      </c>
      <c r="F584" s="84">
        <v>7585279.0</v>
      </c>
      <c r="G584" s="84">
        <v>7717238.0</v>
      </c>
      <c r="H584" s="85" t="s">
        <v>175</v>
      </c>
    </row>
    <row r="585">
      <c r="B585" s="15" t="s">
        <v>649</v>
      </c>
      <c r="C585" t="str">
        <f>I48</f>
        <v>M1a1a3b1a~</v>
      </c>
      <c r="F585" s="84">
        <v>7698724.0</v>
      </c>
      <c r="G585" s="84">
        <v>7830683.0</v>
      </c>
      <c r="H585" s="85" t="s">
        <v>165</v>
      </c>
    </row>
    <row r="586">
      <c r="B586" s="15" t="s">
        <v>650</v>
      </c>
      <c r="C586" t="str">
        <f t="shared" ref="C586:C587" si="10">I48</f>
        <v>M1a1a3b1a~</v>
      </c>
      <c r="F586" s="84">
        <v>8012216.0</v>
      </c>
      <c r="G586" s="84">
        <v>8144175.0</v>
      </c>
      <c r="H586" s="85" t="s">
        <v>165</v>
      </c>
    </row>
    <row r="587">
      <c r="B587" s="15" t="s">
        <v>120</v>
      </c>
      <c r="C587" t="str">
        <f t="shared" si="10"/>
        <v>M1a1a3b1b</v>
      </c>
      <c r="F587" s="93">
        <v>6876680.0</v>
      </c>
      <c r="G587" s="84">
        <v>7008639.0</v>
      </c>
      <c r="H587" s="85" t="s">
        <v>225</v>
      </c>
    </row>
    <row r="588">
      <c r="B588" s="15" t="s">
        <v>651</v>
      </c>
      <c r="C588" t="str">
        <f>I49</f>
        <v>M1a1a3b1b</v>
      </c>
      <c r="F588" s="84">
        <v>7106708.0</v>
      </c>
      <c r="G588" s="84">
        <v>7238667.0</v>
      </c>
      <c r="H588" s="85" t="s">
        <v>177</v>
      </c>
    </row>
    <row r="589">
      <c r="B589" s="15" t="s">
        <v>652</v>
      </c>
      <c r="C589" t="str">
        <f>I49</f>
        <v>M1a1a3b1b</v>
      </c>
      <c r="F589" s="84">
        <v>7107917.0</v>
      </c>
      <c r="G589" s="84">
        <v>7239876.0</v>
      </c>
      <c r="H589" s="85" t="s">
        <v>165</v>
      </c>
    </row>
    <row r="590">
      <c r="B590" s="15" t="s">
        <v>653</v>
      </c>
      <c r="C590" t="str">
        <f>I49</f>
        <v>M1a1a3b1b</v>
      </c>
      <c r="F590" s="84">
        <v>7750092.0</v>
      </c>
      <c r="G590" s="84">
        <v>7882051.0</v>
      </c>
      <c r="H590" s="85" t="s">
        <v>284</v>
      </c>
    </row>
    <row r="591">
      <c r="B591" s="15" t="s">
        <v>654</v>
      </c>
      <c r="C591" t="str">
        <f>I49</f>
        <v>M1a1a3b1b</v>
      </c>
      <c r="F591" s="84">
        <v>8121320.0</v>
      </c>
      <c r="G591" s="84">
        <v>8253279.0</v>
      </c>
      <c r="H591" s="85" t="s">
        <v>165</v>
      </c>
    </row>
    <row r="592">
      <c r="B592" s="15" t="s">
        <v>655</v>
      </c>
      <c r="C592" t="str">
        <f>I49</f>
        <v>M1a1a3b1b</v>
      </c>
      <c r="F592" s="84">
        <v>8179883.0</v>
      </c>
      <c r="G592" s="84">
        <v>8311842.0</v>
      </c>
      <c r="H592" s="85" t="s">
        <v>177</v>
      </c>
    </row>
    <row r="593">
      <c r="B593" s="15" t="s">
        <v>656</v>
      </c>
      <c r="C593" t="str">
        <f>I49</f>
        <v>M1a1a3b1b</v>
      </c>
      <c r="F593" s="84">
        <v>8770794.0</v>
      </c>
      <c r="G593" s="84">
        <v>8902753.0</v>
      </c>
      <c r="H593" s="85" t="s">
        <v>177</v>
      </c>
    </row>
    <row r="594">
      <c r="B594" s="15" t="s">
        <v>657</v>
      </c>
      <c r="C594" t="str">
        <f>I49</f>
        <v>M1a1a3b1b</v>
      </c>
      <c r="F594" s="84">
        <v>1.4117547E7</v>
      </c>
      <c r="G594" s="84">
        <v>1.1996841E7</v>
      </c>
      <c r="H594" s="85" t="s">
        <v>165</v>
      </c>
    </row>
    <row r="595">
      <c r="B595" s="15" t="s">
        <v>658</v>
      </c>
      <c r="C595" t="str">
        <f>I49</f>
        <v>M1a1a3b1b</v>
      </c>
      <c r="F595" s="84">
        <v>1.4126987E7</v>
      </c>
      <c r="G595" s="84">
        <v>1.2006281E7</v>
      </c>
      <c r="H595" s="85" t="s">
        <v>165</v>
      </c>
    </row>
    <row r="596">
      <c r="B596" s="15" t="s">
        <v>659</v>
      </c>
      <c r="C596" t="str">
        <f>I49</f>
        <v>M1a1a3b1b</v>
      </c>
      <c r="F596" s="84">
        <v>1.4383921E7</v>
      </c>
      <c r="G596" s="84">
        <v>1.2263217E7</v>
      </c>
      <c r="H596" s="85" t="s">
        <v>172</v>
      </c>
    </row>
    <row r="597">
      <c r="B597" s="15" t="s">
        <v>660</v>
      </c>
      <c r="C597" t="str">
        <f>I49</f>
        <v>M1a1a3b1b</v>
      </c>
      <c r="F597" s="93">
        <v>1.6210714E7</v>
      </c>
      <c r="G597" s="84">
        <v>1.4098834E7</v>
      </c>
      <c r="H597" s="85" t="s">
        <v>234</v>
      </c>
    </row>
    <row r="598">
      <c r="B598" s="15" t="s">
        <v>661</v>
      </c>
      <c r="C598" t="str">
        <f>I49</f>
        <v>M1a1a3b1b</v>
      </c>
      <c r="F598" s="84">
        <v>1.6214328E7</v>
      </c>
      <c r="G598" s="84">
        <v>1.4102448E7</v>
      </c>
      <c r="H598" s="85" t="s">
        <v>175</v>
      </c>
    </row>
    <row r="599">
      <c r="B599" s="15" t="s">
        <v>662</v>
      </c>
      <c r="C599" t="str">
        <f>I49</f>
        <v>M1a1a3b1b</v>
      </c>
      <c r="F599" s="84">
        <v>1.6267038E7</v>
      </c>
      <c r="G599" s="84">
        <v>1.4155158E7</v>
      </c>
      <c r="H599" s="85" t="s">
        <v>177</v>
      </c>
    </row>
    <row r="600">
      <c r="B600" s="15" t="s">
        <v>663</v>
      </c>
      <c r="C600" t="str">
        <f>I49</f>
        <v>M1a1a3b1b</v>
      </c>
      <c r="F600" s="84">
        <v>1.6747765E7</v>
      </c>
      <c r="G600" s="84">
        <v>1.4635885E7</v>
      </c>
      <c r="H600" s="85" t="s">
        <v>177</v>
      </c>
    </row>
    <row r="601">
      <c r="B601" s="15" t="s">
        <v>664</v>
      </c>
      <c r="C601" t="str">
        <f>I49</f>
        <v>M1a1a3b1b</v>
      </c>
      <c r="F601" s="84">
        <v>1.6889638E7</v>
      </c>
      <c r="G601" s="84">
        <v>1.4777758E7</v>
      </c>
      <c r="H601" s="85" t="s">
        <v>177</v>
      </c>
    </row>
    <row r="602">
      <c r="B602" s="15" t="s">
        <v>665</v>
      </c>
      <c r="C602" t="str">
        <f>I49</f>
        <v>M1a1a3b1b</v>
      </c>
      <c r="F602" s="84">
        <v>1.6936767E7</v>
      </c>
      <c r="G602" s="84">
        <v>1.4824887E7</v>
      </c>
      <c r="H602" s="85" t="s">
        <v>165</v>
      </c>
    </row>
    <row r="603">
      <c r="B603" s="15" t="s">
        <v>666</v>
      </c>
      <c r="C603" t="str">
        <f>I49</f>
        <v>M1a1a3b1b</v>
      </c>
      <c r="F603" s="84">
        <v>1.7048618E7</v>
      </c>
      <c r="G603" s="84">
        <v>1.4936738E7</v>
      </c>
      <c r="H603" s="85" t="s">
        <v>217</v>
      </c>
    </row>
    <row r="604">
      <c r="B604" s="15" t="s">
        <v>667</v>
      </c>
      <c r="C604" t="str">
        <f>I49</f>
        <v>M1a1a3b1b</v>
      </c>
      <c r="F604" s="84">
        <v>1.7723819E7</v>
      </c>
      <c r="G604" s="84">
        <v>1.5611939E7</v>
      </c>
      <c r="H604" s="85" t="s">
        <v>177</v>
      </c>
    </row>
    <row r="605">
      <c r="B605" s="15" t="s">
        <v>668</v>
      </c>
      <c r="C605" t="str">
        <f>I49</f>
        <v>M1a1a3b1b</v>
      </c>
      <c r="F605" s="84">
        <v>1.7875975E7</v>
      </c>
      <c r="G605" s="84">
        <v>1.5764095E7</v>
      </c>
      <c r="H605" s="85" t="s">
        <v>175</v>
      </c>
    </row>
    <row r="606">
      <c r="B606" s="15" t="s">
        <v>669</v>
      </c>
      <c r="C606" t="str">
        <f>I49</f>
        <v>M1a1a3b1b</v>
      </c>
      <c r="F606" s="84">
        <v>2.1275295E7</v>
      </c>
      <c r="G606" s="84">
        <v>1.9113409E7</v>
      </c>
      <c r="H606" s="85" t="s">
        <v>234</v>
      </c>
    </row>
    <row r="607">
      <c r="B607" s="15" t="s">
        <v>670</v>
      </c>
      <c r="C607" t="str">
        <f>I49</f>
        <v>M1a1a3b1b</v>
      </c>
      <c r="F607" s="84">
        <v>2.132714E7</v>
      </c>
      <c r="G607" s="84">
        <v>1.9165254E7</v>
      </c>
      <c r="H607" s="85" t="s">
        <v>177</v>
      </c>
    </row>
    <row r="608">
      <c r="B608" s="15" t="s">
        <v>671</v>
      </c>
      <c r="C608" t="str">
        <f>I49</f>
        <v>M1a1a3b1b</v>
      </c>
      <c r="F608" s="84">
        <v>2.154752E7</v>
      </c>
      <c r="G608" s="84">
        <v>1.9385634E7</v>
      </c>
      <c r="H608" s="85" t="s">
        <v>222</v>
      </c>
    </row>
    <row r="609">
      <c r="B609" s="15" t="s">
        <v>672</v>
      </c>
      <c r="C609" t="str">
        <f>I49</f>
        <v>M1a1a3b1b</v>
      </c>
      <c r="F609" s="84">
        <v>2.2076024E7</v>
      </c>
      <c r="G609" s="84">
        <v>1.9914138E7</v>
      </c>
      <c r="H609" s="85" t="s">
        <v>172</v>
      </c>
    </row>
    <row r="610">
      <c r="B610" s="15" t="s">
        <v>673</v>
      </c>
      <c r="C610" t="str">
        <f>I49</f>
        <v>M1a1a3b1b</v>
      </c>
      <c r="F610" s="84">
        <v>2.2871185E7</v>
      </c>
      <c r="G610" s="84">
        <v>2.0709299E7</v>
      </c>
      <c r="H610" s="85" t="s">
        <v>177</v>
      </c>
    </row>
    <row r="611">
      <c r="B611" s="15" t="s">
        <v>674</v>
      </c>
      <c r="C611" t="str">
        <f>I49</f>
        <v>M1a1a3b1b</v>
      </c>
      <c r="F611" s="84">
        <v>2.3304124E7</v>
      </c>
      <c r="G611" s="84">
        <v>2.1142238E7</v>
      </c>
      <c r="H611" s="85" t="s">
        <v>177</v>
      </c>
    </row>
    <row r="612">
      <c r="B612" s="15" t="s">
        <v>675</v>
      </c>
      <c r="C612" t="str">
        <f>I49</f>
        <v>M1a1a3b1b</v>
      </c>
      <c r="F612" s="84">
        <v>2.8734954E7</v>
      </c>
      <c r="G612" s="84">
        <v>2.6588807E7</v>
      </c>
      <c r="H612" s="85" t="s">
        <v>177</v>
      </c>
    </row>
    <row r="613">
      <c r="B613" s="15" t="s">
        <v>676</v>
      </c>
      <c r="C613" t="str">
        <f>J50</f>
        <v>M1a1a3b1b1~</v>
      </c>
      <c r="D613" s="97" t="s">
        <v>677</v>
      </c>
      <c r="F613" s="98">
        <v>7579846.0</v>
      </c>
      <c r="G613" s="99">
        <v>7651805.0</v>
      </c>
      <c r="H613" s="96" t="s">
        <v>217</v>
      </c>
    </row>
    <row r="614">
      <c r="B614" s="15" t="s">
        <v>677</v>
      </c>
      <c r="C614" t="str">
        <f>J50</f>
        <v>M1a1a3b1b1~</v>
      </c>
      <c r="D614" s="97" t="s">
        <v>676</v>
      </c>
      <c r="F614" s="98">
        <v>7579846.0</v>
      </c>
      <c r="G614" s="99">
        <v>7651805.0</v>
      </c>
      <c r="H614" s="96" t="s">
        <v>217</v>
      </c>
    </row>
    <row r="615">
      <c r="B615" s="15" t="s">
        <v>678</v>
      </c>
      <c r="C615" t="str">
        <f>J50</f>
        <v>M1a1a3b1b1~</v>
      </c>
      <c r="F615" s="84">
        <v>6828273.0</v>
      </c>
      <c r="G615" s="84">
        <v>6960232.0</v>
      </c>
      <c r="H615" s="85" t="s">
        <v>284</v>
      </c>
    </row>
    <row r="616">
      <c r="B616" s="15" t="s">
        <v>679</v>
      </c>
      <c r="C616" t="str">
        <f>J50</f>
        <v>M1a1a3b1b1~</v>
      </c>
      <c r="F616" s="84">
        <v>8257926.0</v>
      </c>
      <c r="G616" s="84">
        <v>8389885.0</v>
      </c>
      <c r="H616" s="85" t="s">
        <v>284</v>
      </c>
    </row>
    <row r="617">
      <c r="B617" s="15" t="s">
        <v>680</v>
      </c>
      <c r="C617" t="str">
        <f>J50</f>
        <v>M1a1a3b1b1~</v>
      </c>
      <c r="F617" s="84">
        <v>8644753.0</v>
      </c>
      <c r="G617" s="84">
        <v>8776712.0</v>
      </c>
      <c r="H617" s="85" t="s">
        <v>177</v>
      </c>
    </row>
    <row r="618">
      <c r="B618" s="15" t="s">
        <v>681</v>
      </c>
      <c r="C618" t="str">
        <f t="shared" ref="C618:C619" si="11">J50</f>
        <v>M1a1a3b1b1~</v>
      </c>
      <c r="F618" s="93">
        <v>1.5017486E7</v>
      </c>
      <c r="G618" s="84">
        <v>1.2905575E7</v>
      </c>
      <c r="H618" s="85" t="s">
        <v>175</v>
      </c>
    </row>
    <row r="619">
      <c r="B619" s="15" t="s">
        <v>682</v>
      </c>
      <c r="C619" t="str">
        <f t="shared" si="11"/>
        <v>M1a1a3b1b2~</v>
      </c>
      <c r="E619" s="86" t="s">
        <v>683</v>
      </c>
      <c r="F619" s="84">
        <v>7694785.0</v>
      </c>
      <c r="G619" s="84">
        <v>7826744.0</v>
      </c>
      <c r="H619" s="85" t="s">
        <v>177</v>
      </c>
    </row>
    <row r="620">
      <c r="B620" s="15" t="s">
        <v>684</v>
      </c>
      <c r="C620" t="str">
        <f>J51</f>
        <v>M1a1a3b1b2~</v>
      </c>
      <c r="E620" s="86" t="s">
        <v>683</v>
      </c>
      <c r="F620" s="84">
        <v>8545494.0</v>
      </c>
      <c r="G620" s="84">
        <v>8677453.0</v>
      </c>
      <c r="H620" s="85" t="s">
        <v>177</v>
      </c>
    </row>
    <row r="621">
      <c r="B621" s="15" t="s">
        <v>685</v>
      </c>
      <c r="C621" t="str">
        <f>J51</f>
        <v>M1a1a3b1b2~</v>
      </c>
      <c r="F621" s="84">
        <v>7156933.0</v>
      </c>
      <c r="G621" s="84">
        <v>7288892.0</v>
      </c>
      <c r="H621" s="85" t="s">
        <v>175</v>
      </c>
    </row>
    <row r="622">
      <c r="B622" s="15" t="s">
        <v>686</v>
      </c>
      <c r="C622" t="str">
        <f>J51</f>
        <v>M1a1a3b1b2~</v>
      </c>
      <c r="F622" s="84">
        <v>7243541.0</v>
      </c>
      <c r="G622" s="84">
        <v>7375500.0</v>
      </c>
      <c r="H622" s="85" t="s">
        <v>177</v>
      </c>
    </row>
    <row r="623">
      <c r="B623" s="15" t="s">
        <v>687</v>
      </c>
      <c r="C623" t="str">
        <f>J51</f>
        <v>M1a1a3b1b2~</v>
      </c>
      <c r="F623" s="84">
        <v>8484349.0</v>
      </c>
      <c r="G623" s="84">
        <v>8616308.0</v>
      </c>
      <c r="H623" s="85" t="s">
        <v>165</v>
      </c>
    </row>
    <row r="624">
      <c r="B624" s="15" t="s">
        <v>122</v>
      </c>
      <c r="C624" t="str">
        <f>I52</f>
        <v>M1a1a3b1c</v>
      </c>
      <c r="F624" s="90">
        <v>2885637.0</v>
      </c>
      <c r="G624" s="84">
        <v>3017596.0</v>
      </c>
      <c r="H624" s="85" t="s">
        <v>253</v>
      </c>
    </row>
    <row r="625">
      <c r="B625" s="15" t="s">
        <v>688</v>
      </c>
      <c r="C625" t="str">
        <f>I52</f>
        <v>M1a1a3b1c</v>
      </c>
      <c r="F625" s="90">
        <v>7325371.0</v>
      </c>
      <c r="G625" s="84">
        <v>7457330.0</v>
      </c>
      <c r="H625" s="85" t="s">
        <v>165</v>
      </c>
    </row>
    <row r="626">
      <c r="B626" s="15" t="s">
        <v>689</v>
      </c>
      <c r="C626" t="str">
        <f>I52</f>
        <v>M1a1a3b1c</v>
      </c>
      <c r="F626" s="84">
        <v>7327175.0</v>
      </c>
      <c r="G626" s="84">
        <v>7459134.0</v>
      </c>
      <c r="H626" s="85" t="s">
        <v>234</v>
      </c>
    </row>
    <row r="627">
      <c r="B627" s="15" t="s">
        <v>690</v>
      </c>
      <c r="C627" t="str">
        <f>I52</f>
        <v>M1a1a3b1c</v>
      </c>
      <c r="F627" s="84">
        <v>7651974.0</v>
      </c>
      <c r="G627" s="84">
        <v>7783933.0</v>
      </c>
      <c r="H627" s="85" t="s">
        <v>175</v>
      </c>
    </row>
    <row r="628">
      <c r="B628" s="15" t="s">
        <v>691</v>
      </c>
      <c r="C628" t="str">
        <f>I52</f>
        <v>M1a1a3b1c</v>
      </c>
      <c r="F628" s="84">
        <v>8058221.0</v>
      </c>
      <c r="G628" s="84">
        <v>8190180.0</v>
      </c>
      <c r="H628" s="85" t="s">
        <v>177</v>
      </c>
    </row>
    <row r="629">
      <c r="B629" s="15" t="s">
        <v>692</v>
      </c>
      <c r="C629" t="str">
        <f>I52</f>
        <v>M1a1a3b1c</v>
      </c>
      <c r="F629" s="84">
        <v>8493986.0</v>
      </c>
      <c r="G629" s="84">
        <v>8625945.0</v>
      </c>
      <c r="H629" s="85" t="s">
        <v>165</v>
      </c>
    </row>
    <row r="630">
      <c r="B630" s="15" t="s">
        <v>693</v>
      </c>
      <c r="C630" t="str">
        <f>I52</f>
        <v>M1a1a3b1c</v>
      </c>
      <c r="E630" s="86" t="s">
        <v>694</v>
      </c>
      <c r="F630" s="84">
        <v>8591531.0</v>
      </c>
      <c r="G630" s="84">
        <v>8723490.0</v>
      </c>
      <c r="H630" s="85" t="s">
        <v>177</v>
      </c>
    </row>
    <row r="631">
      <c r="B631" s="15" t="s">
        <v>695</v>
      </c>
      <c r="C631" t="str">
        <f>I52</f>
        <v>M1a1a3b1c</v>
      </c>
      <c r="F631" s="84">
        <v>8847987.0</v>
      </c>
      <c r="G631" s="84">
        <v>8979946.0</v>
      </c>
      <c r="H631" s="85" t="s">
        <v>222</v>
      </c>
    </row>
    <row r="632">
      <c r="B632" s="15" t="s">
        <v>696</v>
      </c>
      <c r="C632" t="str">
        <f>I52</f>
        <v>M1a1a3b1c</v>
      </c>
      <c r="F632" s="84">
        <v>9125962.0</v>
      </c>
      <c r="G632" s="84">
        <v>9288353.0</v>
      </c>
      <c r="H632" s="85" t="s">
        <v>165</v>
      </c>
    </row>
    <row r="633">
      <c r="B633" s="15" t="s">
        <v>697</v>
      </c>
      <c r="C633" t="str">
        <f>I52</f>
        <v>M1a1a3b1c</v>
      </c>
      <c r="F633" s="84">
        <v>1.4056352E7</v>
      </c>
      <c r="G633" s="84">
        <v>1.1935646E7</v>
      </c>
      <c r="H633" s="85" t="s">
        <v>177</v>
      </c>
    </row>
    <row r="634">
      <c r="B634" s="15" t="s">
        <v>698</v>
      </c>
      <c r="C634" t="str">
        <f>I52</f>
        <v>M1a1a3b1c</v>
      </c>
      <c r="F634" s="84">
        <v>1.4129203E7</v>
      </c>
      <c r="G634" s="84">
        <v>1.2008497E7</v>
      </c>
      <c r="H634" s="85" t="s">
        <v>169</v>
      </c>
    </row>
    <row r="635">
      <c r="B635" s="15" t="s">
        <v>699</v>
      </c>
      <c r="C635" t="str">
        <f>I52</f>
        <v>M1a1a3b1c</v>
      </c>
      <c r="F635" s="84">
        <v>1.4175024E7</v>
      </c>
      <c r="G635" s="84">
        <v>1.2054318E7</v>
      </c>
      <c r="H635" s="85" t="s">
        <v>177</v>
      </c>
    </row>
    <row r="636">
      <c r="B636" s="15" t="s">
        <v>700</v>
      </c>
      <c r="C636" t="str">
        <f>I52</f>
        <v>M1a1a3b1c</v>
      </c>
      <c r="F636" s="84">
        <v>1.4183482E7</v>
      </c>
      <c r="G636" s="84">
        <v>1.2062776E7</v>
      </c>
      <c r="H636" s="85" t="s">
        <v>253</v>
      </c>
    </row>
    <row r="637">
      <c r="B637" s="15" t="s">
        <v>701</v>
      </c>
      <c r="C637" t="str">
        <f>I52</f>
        <v>M1a1a3b1c</v>
      </c>
      <c r="F637" s="84">
        <v>1.4469116E7</v>
      </c>
      <c r="G637" s="84">
        <v>1.2348385E7</v>
      </c>
      <c r="H637" s="85" t="s">
        <v>165</v>
      </c>
    </row>
    <row r="638">
      <c r="B638" s="15" t="s">
        <v>702</v>
      </c>
      <c r="C638" t="str">
        <f>I52</f>
        <v>M1a1a3b1c</v>
      </c>
      <c r="F638" s="84">
        <v>1.4925718E7</v>
      </c>
      <c r="G638" s="84">
        <v>1.2813783E7</v>
      </c>
      <c r="H638" s="85" t="s">
        <v>225</v>
      </c>
    </row>
    <row r="639">
      <c r="B639" s="15" t="s">
        <v>703</v>
      </c>
      <c r="C639" t="str">
        <f>I52</f>
        <v>M1a1a3b1c</v>
      </c>
      <c r="F639" s="84">
        <v>1.4975906E7</v>
      </c>
      <c r="G639" s="84">
        <v>1.2863981E7</v>
      </c>
      <c r="H639" s="85" t="s">
        <v>253</v>
      </c>
    </row>
    <row r="640">
      <c r="B640" s="15" t="s">
        <v>704</v>
      </c>
      <c r="C640" t="str">
        <f>I52</f>
        <v>M1a1a3b1c</v>
      </c>
      <c r="F640" s="84">
        <v>1.5010476E7</v>
      </c>
      <c r="G640" s="84">
        <v>1.2898561E7</v>
      </c>
      <c r="H640" s="85" t="s">
        <v>177</v>
      </c>
    </row>
    <row r="641">
      <c r="B641" s="15" t="s">
        <v>705</v>
      </c>
      <c r="C641" t="str">
        <f>I52</f>
        <v>M1a1a3b1c</v>
      </c>
      <c r="F641" s="84">
        <v>1.5125312E7</v>
      </c>
      <c r="G641" s="84">
        <v>1.3013399E7</v>
      </c>
      <c r="H641" s="85" t="s">
        <v>172</v>
      </c>
    </row>
    <row r="642">
      <c r="B642" s="15" t="s">
        <v>706</v>
      </c>
      <c r="C642" t="str">
        <f>I52</f>
        <v>M1a1a3b1c</v>
      </c>
      <c r="F642" s="84">
        <v>1.5240791E7</v>
      </c>
      <c r="G642" s="84">
        <v>1.3128877E7</v>
      </c>
      <c r="H642" s="85" t="s">
        <v>225</v>
      </c>
    </row>
    <row r="643">
      <c r="B643" s="15" t="s">
        <v>707</v>
      </c>
      <c r="C643" t="str">
        <f>I52</f>
        <v>M1a1a3b1c</v>
      </c>
      <c r="F643" s="84">
        <v>1.5311169E7</v>
      </c>
      <c r="G643" s="84">
        <v>1.3199274E7</v>
      </c>
      <c r="H643" s="85" t="s">
        <v>177</v>
      </c>
    </row>
    <row r="644">
      <c r="B644" s="15" t="s">
        <v>708</v>
      </c>
      <c r="C644" t="str">
        <f>I52</f>
        <v>M1a1a3b1c</v>
      </c>
      <c r="F644" s="84">
        <v>1.6523817E7</v>
      </c>
      <c r="G644" s="84">
        <v>1.4411937E7</v>
      </c>
      <c r="H644" s="85" t="s">
        <v>172</v>
      </c>
    </row>
    <row r="645">
      <c r="B645" s="15" t="s">
        <v>709</v>
      </c>
      <c r="C645" t="str">
        <f>I52</f>
        <v>M1a1a3b1c</v>
      </c>
      <c r="F645" s="84">
        <v>1.6569772E7</v>
      </c>
      <c r="G645" s="84">
        <v>1.4457892E7</v>
      </c>
      <c r="H645" s="85" t="s">
        <v>253</v>
      </c>
    </row>
    <row r="646">
      <c r="B646" s="15" t="s">
        <v>710</v>
      </c>
      <c r="C646" t="str">
        <f>I52</f>
        <v>M1a1a3b1c</v>
      </c>
      <c r="F646" s="84">
        <v>1.6913805E7</v>
      </c>
      <c r="G646" s="84">
        <v>1.4801925E7</v>
      </c>
      <c r="H646" s="85" t="s">
        <v>175</v>
      </c>
    </row>
    <row r="647">
      <c r="B647" s="15" t="s">
        <v>711</v>
      </c>
      <c r="C647" t="str">
        <f>I52</f>
        <v>M1a1a3b1c</v>
      </c>
      <c r="F647" s="84">
        <v>1.7241587E7</v>
      </c>
      <c r="G647" s="84">
        <v>1.5129707E7</v>
      </c>
      <c r="H647" s="85" t="s">
        <v>172</v>
      </c>
    </row>
    <row r="648">
      <c r="B648" s="15" t="s">
        <v>712</v>
      </c>
      <c r="C648" t="str">
        <f>I52</f>
        <v>M1a1a3b1c</v>
      </c>
      <c r="F648" s="84">
        <v>1.8676823E7</v>
      </c>
      <c r="G648" s="84">
        <v>1.6564943E7</v>
      </c>
      <c r="H648" s="85" t="s">
        <v>217</v>
      </c>
    </row>
    <row r="649">
      <c r="B649" s="15" t="s">
        <v>713</v>
      </c>
      <c r="C649" t="str">
        <f>I52</f>
        <v>M1a1a3b1c</v>
      </c>
      <c r="F649" s="84">
        <v>1.9356211E7</v>
      </c>
      <c r="G649" s="84">
        <v>1.7244331E7</v>
      </c>
      <c r="H649" s="85" t="s">
        <v>284</v>
      </c>
    </row>
    <row r="650">
      <c r="B650" s="15" t="s">
        <v>714</v>
      </c>
      <c r="C650" t="str">
        <f>I52</f>
        <v>M1a1a3b1c</v>
      </c>
      <c r="F650" s="84">
        <v>2.1262082E7</v>
      </c>
      <c r="G650" s="84">
        <v>1.9100196E7</v>
      </c>
      <c r="H650" s="85" t="s">
        <v>177</v>
      </c>
    </row>
    <row r="651">
      <c r="B651" s="15" t="s">
        <v>715</v>
      </c>
      <c r="C651" t="str">
        <f>I52</f>
        <v>M1a1a3b1c</v>
      </c>
      <c r="F651" s="84">
        <v>2.157406E7</v>
      </c>
      <c r="G651" s="84">
        <v>1.9412174E7</v>
      </c>
      <c r="H651" s="85" t="s">
        <v>169</v>
      </c>
    </row>
    <row r="652">
      <c r="B652" s="15" t="s">
        <v>716</v>
      </c>
      <c r="C652" t="str">
        <f>I52</f>
        <v>M1a1a3b1c</v>
      </c>
      <c r="F652" s="84">
        <v>2.2791814E7</v>
      </c>
      <c r="G652" s="84">
        <v>2.0629928E7</v>
      </c>
      <c r="H652" s="85" t="s">
        <v>175</v>
      </c>
    </row>
    <row r="653">
      <c r="B653" s="15" t="s">
        <v>717</v>
      </c>
      <c r="C653" t="str">
        <f>I52</f>
        <v>M1a1a3b1c</v>
      </c>
      <c r="F653" s="84">
        <v>2.3147416E7</v>
      </c>
      <c r="G653" s="84">
        <v>2.098553E7</v>
      </c>
      <c r="H653" s="85" t="s">
        <v>165</v>
      </c>
    </row>
    <row r="654">
      <c r="B654" s="15" t="s">
        <v>718</v>
      </c>
      <c r="C654" t="str">
        <f>I52</f>
        <v>M1a1a3b1c</v>
      </c>
      <c r="F654" s="84">
        <v>2.3185558E7</v>
      </c>
      <c r="G654" s="84">
        <v>2.1023672E7</v>
      </c>
      <c r="H654" s="85" t="s">
        <v>175</v>
      </c>
    </row>
    <row r="655">
      <c r="B655" s="15" t="s">
        <v>719</v>
      </c>
      <c r="C655" t="str">
        <f>J53</f>
        <v>M1a1a3b1c1~</v>
      </c>
      <c r="F655" s="93">
        <v>7269443.0</v>
      </c>
      <c r="G655" s="84">
        <v>7401402.0</v>
      </c>
      <c r="H655" s="85" t="s">
        <v>165</v>
      </c>
    </row>
    <row r="656">
      <c r="B656" s="15" t="s">
        <v>720</v>
      </c>
      <c r="C656" t="str">
        <f>J53</f>
        <v>M1a1a3b1c1~</v>
      </c>
      <c r="F656" s="84">
        <v>8156524.0</v>
      </c>
      <c r="G656" s="84">
        <v>8288483.0</v>
      </c>
      <c r="H656" s="85" t="s">
        <v>175</v>
      </c>
    </row>
    <row r="657">
      <c r="B657" s="15" t="s">
        <v>721</v>
      </c>
      <c r="C657" t="str">
        <f>J53</f>
        <v>M1a1a3b1c1~</v>
      </c>
      <c r="F657" s="84">
        <v>7341503.0</v>
      </c>
      <c r="G657" s="84">
        <v>7473462.0</v>
      </c>
      <c r="H657" s="85" t="s">
        <v>172</v>
      </c>
    </row>
    <row r="658">
      <c r="B658" s="15" t="s">
        <v>722</v>
      </c>
      <c r="C658" t="str">
        <f>J53</f>
        <v>M1a1a3b1c1~</v>
      </c>
      <c r="F658" s="84">
        <v>8537044.0</v>
      </c>
      <c r="G658" s="84">
        <v>8669003.0</v>
      </c>
      <c r="H658" s="85" t="s">
        <v>217</v>
      </c>
    </row>
    <row r="659">
      <c r="B659" s="15" t="s">
        <v>723</v>
      </c>
      <c r="C659" t="str">
        <f t="shared" ref="C659:C660" si="12">J53</f>
        <v>M1a1a3b1c1~</v>
      </c>
      <c r="F659" s="84">
        <v>9880005.0</v>
      </c>
      <c r="G659" s="84">
        <v>1.0042396E7</v>
      </c>
      <c r="H659" s="85" t="s">
        <v>307</v>
      </c>
    </row>
    <row r="660">
      <c r="B660" s="15" t="s">
        <v>724</v>
      </c>
      <c r="C660" t="str">
        <f t="shared" si="12"/>
        <v>M1a1a3b1c2~</v>
      </c>
      <c r="F660" s="90">
        <v>1.4038578E7</v>
      </c>
      <c r="G660" s="84">
        <v>1.1917872E7</v>
      </c>
      <c r="H660" s="85" t="s">
        <v>165</v>
      </c>
    </row>
    <row r="661">
      <c r="B661" s="15" t="s">
        <v>725</v>
      </c>
      <c r="C661" t="str">
        <f>J54</f>
        <v>M1a1a3b1c2~</v>
      </c>
      <c r="F661" s="93">
        <v>1.4296545E7</v>
      </c>
      <c r="G661" s="84">
        <v>1.2175839E7</v>
      </c>
      <c r="H661" s="85" t="s">
        <v>225</v>
      </c>
    </row>
    <row r="662">
      <c r="B662" s="15" t="s">
        <v>726</v>
      </c>
      <c r="C662" t="str">
        <f>J54</f>
        <v>M1a1a3b1c2~</v>
      </c>
      <c r="E662" s="86" t="s">
        <v>727</v>
      </c>
      <c r="F662" s="93">
        <v>1.4328165E7</v>
      </c>
      <c r="G662" s="84">
        <v>1.2207459E7</v>
      </c>
      <c r="H662" s="85" t="s">
        <v>165</v>
      </c>
    </row>
    <row r="663">
      <c r="B663" s="15" t="s">
        <v>728</v>
      </c>
      <c r="C663" t="str">
        <f>J54</f>
        <v>M1a1a3b1c2~</v>
      </c>
      <c r="F663" s="93">
        <v>1.5042639E7</v>
      </c>
      <c r="G663" s="84">
        <v>1.2930729E7</v>
      </c>
      <c r="H663" s="85" t="s">
        <v>175</v>
      </c>
    </row>
    <row r="664">
      <c r="B664" s="15" t="s">
        <v>124</v>
      </c>
      <c r="C664" t="str">
        <f>I55</f>
        <v>M1a1a3b1d~</v>
      </c>
      <c r="F664" s="93">
        <v>6903117.0</v>
      </c>
      <c r="G664" s="84">
        <v>7035076.0</v>
      </c>
      <c r="H664" s="85" t="s">
        <v>225</v>
      </c>
    </row>
    <row r="665">
      <c r="B665" s="15" t="s">
        <v>729</v>
      </c>
      <c r="C665" t="str">
        <f>I55</f>
        <v>M1a1a3b1d~</v>
      </c>
      <c r="F665" s="90">
        <v>2889563.0</v>
      </c>
      <c r="G665" s="84">
        <v>3021522.0</v>
      </c>
      <c r="H665" s="85" t="s">
        <v>172</v>
      </c>
    </row>
    <row r="666">
      <c r="B666" s="15" t="s">
        <v>730</v>
      </c>
      <c r="C666" t="str">
        <f>I55</f>
        <v>M1a1a3b1d~</v>
      </c>
      <c r="F666" s="90">
        <v>7159520.0</v>
      </c>
      <c r="G666" s="84">
        <v>7291479.0</v>
      </c>
      <c r="H666" s="85" t="s">
        <v>307</v>
      </c>
    </row>
    <row r="667">
      <c r="B667" s="15" t="s">
        <v>731</v>
      </c>
      <c r="C667" t="str">
        <f>I55</f>
        <v>M1a1a3b1d~</v>
      </c>
      <c r="F667" s="90">
        <v>7638937.0</v>
      </c>
      <c r="G667" s="84">
        <v>7770896.0</v>
      </c>
      <c r="H667" s="85" t="s">
        <v>172</v>
      </c>
    </row>
    <row r="668">
      <c r="B668" s="15" t="s">
        <v>732</v>
      </c>
      <c r="C668" t="str">
        <f>I55</f>
        <v>M1a1a3b1d~</v>
      </c>
      <c r="F668" s="90">
        <v>8608287.0</v>
      </c>
      <c r="G668" s="84">
        <v>8740246.0</v>
      </c>
      <c r="H668" s="85" t="s">
        <v>172</v>
      </c>
    </row>
    <row r="669">
      <c r="B669" s="15" t="s">
        <v>733</v>
      </c>
      <c r="C669" t="str">
        <f>H56</f>
        <v>M1a1a3b2</v>
      </c>
      <c r="D669" s="15" t="s">
        <v>734</v>
      </c>
      <c r="F669" s="84">
        <v>1.8177988E7</v>
      </c>
      <c r="G669" s="84">
        <v>1.6066108E7</v>
      </c>
      <c r="H669" s="85" t="s">
        <v>169</v>
      </c>
    </row>
    <row r="670">
      <c r="B670" s="15" t="s">
        <v>734</v>
      </c>
      <c r="C670" t="str">
        <f>H56</f>
        <v>M1a1a3b2</v>
      </c>
      <c r="D670" s="15" t="s">
        <v>733</v>
      </c>
      <c r="F670" s="84">
        <v>1.8177988E7</v>
      </c>
      <c r="G670" s="84">
        <v>1.6066108E7</v>
      </c>
      <c r="H670" s="85" t="s">
        <v>169</v>
      </c>
    </row>
    <row r="671">
      <c r="B671" s="15" t="s">
        <v>735</v>
      </c>
      <c r="C671" t="str">
        <f t="shared" ref="C671:C672" si="13">H56</f>
        <v>M1a1a3b2</v>
      </c>
      <c r="F671" s="84">
        <v>1.0007133E7</v>
      </c>
      <c r="G671" s="84">
        <v>1.0169524E7</v>
      </c>
      <c r="H671" s="85" t="s">
        <v>234</v>
      </c>
    </row>
    <row r="672">
      <c r="B672" s="15" t="s">
        <v>736</v>
      </c>
      <c r="C672" t="str">
        <f t="shared" si="13"/>
        <v>M1a1a3b2~</v>
      </c>
      <c r="D672" s="15" t="s">
        <v>737</v>
      </c>
      <c r="E672" s="15" t="s">
        <v>738</v>
      </c>
      <c r="F672" s="84">
        <v>1.8209106E7</v>
      </c>
      <c r="G672" s="84">
        <v>1.6097226E7</v>
      </c>
      <c r="H672" s="85" t="s">
        <v>165</v>
      </c>
    </row>
    <row r="673">
      <c r="B673" s="15" t="s">
        <v>739</v>
      </c>
      <c r="C673" t="str">
        <f>H57</f>
        <v>M1a1a3b2~</v>
      </c>
      <c r="D673" s="15" t="s">
        <v>740</v>
      </c>
      <c r="E673" s="86" t="s">
        <v>738</v>
      </c>
      <c r="F673" s="84">
        <v>1.8209106E7</v>
      </c>
      <c r="G673" s="84">
        <v>1.6097226E7</v>
      </c>
      <c r="H673" s="85" t="s">
        <v>165</v>
      </c>
    </row>
    <row r="674">
      <c r="B674" s="15" t="s">
        <v>741</v>
      </c>
      <c r="C674" t="str">
        <f>H57</f>
        <v>M1a1a3b2~</v>
      </c>
      <c r="D674" s="15" t="s">
        <v>742</v>
      </c>
      <c r="E674" s="86" t="s">
        <v>738</v>
      </c>
      <c r="F674" s="84">
        <v>1.8209106E7</v>
      </c>
      <c r="G674" s="84">
        <v>1.6097226E7</v>
      </c>
      <c r="H674" s="85" t="s">
        <v>165</v>
      </c>
    </row>
    <row r="675">
      <c r="B675" s="15" t="s">
        <v>743</v>
      </c>
      <c r="C675" t="str">
        <f>I58</f>
        <v>M1a1a3b2a~</v>
      </c>
      <c r="F675" s="84">
        <v>2722393.0</v>
      </c>
      <c r="G675" s="84">
        <v>2854352.0</v>
      </c>
      <c r="H675" s="85" t="s">
        <v>234</v>
      </c>
    </row>
    <row r="676">
      <c r="B676" s="15" t="s">
        <v>744</v>
      </c>
      <c r="C676" t="str">
        <f>I58</f>
        <v>M1a1a3b2a~</v>
      </c>
      <c r="F676" s="84">
        <v>6702580.0</v>
      </c>
      <c r="G676" s="84">
        <v>6834539.0</v>
      </c>
      <c r="H676" s="85" t="s">
        <v>234</v>
      </c>
    </row>
    <row r="677">
      <c r="B677" s="15" t="s">
        <v>745</v>
      </c>
      <c r="C677" t="str">
        <f>I58</f>
        <v>M1a1a3b2a~</v>
      </c>
      <c r="F677" s="84">
        <v>7077655.0</v>
      </c>
      <c r="G677" s="84">
        <v>7209614.0</v>
      </c>
      <c r="H677" s="85" t="s">
        <v>169</v>
      </c>
    </row>
    <row r="678">
      <c r="B678" s="15" t="s">
        <v>746</v>
      </c>
      <c r="C678" t="str">
        <f>I58</f>
        <v>M1a1a3b2a~</v>
      </c>
      <c r="F678" s="84">
        <v>7307366.0</v>
      </c>
      <c r="G678" s="84">
        <v>7439325.0</v>
      </c>
      <c r="H678" s="85" t="s">
        <v>172</v>
      </c>
    </row>
    <row r="679">
      <c r="B679" s="15" t="s">
        <v>747</v>
      </c>
      <c r="C679" t="str">
        <f t="shared" ref="C679:C680" si="14">I58</f>
        <v>M1a1a3b2a~</v>
      </c>
      <c r="F679" s="84">
        <v>7637584.0</v>
      </c>
      <c r="G679" s="84">
        <v>7769543.0</v>
      </c>
      <c r="H679" s="85" t="s">
        <v>175</v>
      </c>
    </row>
    <row r="680">
      <c r="B680" s="15" t="s">
        <v>748</v>
      </c>
      <c r="C680" s="66" t="str">
        <f t="shared" si="14"/>
        <v>M1a1a3b2b~</v>
      </c>
      <c r="F680" s="84">
        <v>6735210.0</v>
      </c>
      <c r="G680" s="84">
        <v>6867169.0</v>
      </c>
      <c r="H680" s="85" t="s">
        <v>234</v>
      </c>
    </row>
    <row r="681">
      <c r="B681" s="15" t="s">
        <v>749</v>
      </c>
      <c r="C681" t="str">
        <f>I59</f>
        <v>M1a1a3b2b~</v>
      </c>
      <c r="F681" s="84">
        <v>7284544.0</v>
      </c>
      <c r="G681" s="84">
        <v>7416503.0</v>
      </c>
      <c r="H681" s="85" t="s">
        <v>177</v>
      </c>
    </row>
    <row r="682">
      <c r="B682" s="15" t="s">
        <v>750</v>
      </c>
      <c r="C682" t="str">
        <f>I59</f>
        <v>M1a1a3b2b~</v>
      </c>
      <c r="F682" s="84">
        <v>7643536.0</v>
      </c>
      <c r="G682" s="84">
        <v>7775495.0</v>
      </c>
      <c r="H682" s="85" t="s">
        <v>175</v>
      </c>
    </row>
    <row r="683">
      <c r="B683" s="15" t="s">
        <v>751</v>
      </c>
      <c r="C683" t="str">
        <f>I59</f>
        <v>M1a1a3b2b~</v>
      </c>
      <c r="F683" s="84">
        <v>8098451.0</v>
      </c>
      <c r="G683" s="84">
        <v>8230410.0</v>
      </c>
      <c r="H683" s="85" t="s">
        <v>175</v>
      </c>
    </row>
    <row r="684">
      <c r="B684" s="15" t="s">
        <v>752</v>
      </c>
      <c r="C684" t="str">
        <f>I59</f>
        <v>M1a1a3b2b~</v>
      </c>
      <c r="F684" s="84">
        <v>8400418.0</v>
      </c>
      <c r="G684" s="84">
        <v>8532377.0</v>
      </c>
      <c r="H684" s="85" t="s">
        <v>175</v>
      </c>
    </row>
    <row r="685">
      <c r="B685" s="15" t="s">
        <v>127</v>
      </c>
      <c r="C685" t="str">
        <f>D60</f>
        <v>M1a2~</v>
      </c>
      <c r="F685" s="84">
        <v>2751052.0</v>
      </c>
      <c r="G685" s="84">
        <v>2883011.0</v>
      </c>
      <c r="H685" s="85" t="s">
        <v>175</v>
      </c>
    </row>
    <row r="686">
      <c r="B686" s="15" t="s">
        <v>753</v>
      </c>
      <c r="C686" t="str">
        <f>D60</f>
        <v>M1a2~</v>
      </c>
      <c r="F686" s="84">
        <v>2807488.0</v>
      </c>
      <c r="G686" s="84">
        <v>2939447.0</v>
      </c>
      <c r="H686" s="85" t="s">
        <v>177</v>
      </c>
    </row>
    <row r="687">
      <c r="B687" s="15" t="s">
        <v>754</v>
      </c>
      <c r="C687" t="str">
        <f>D60</f>
        <v>M1a2~</v>
      </c>
      <c r="F687" s="84">
        <v>2913130.0</v>
      </c>
      <c r="G687" s="84">
        <v>3045089.0</v>
      </c>
      <c r="H687" s="85" t="s">
        <v>217</v>
      </c>
    </row>
    <row r="688">
      <c r="B688" s="15" t="s">
        <v>755</v>
      </c>
      <c r="C688" t="str">
        <f>D60</f>
        <v>M1a2~</v>
      </c>
      <c r="F688" s="84">
        <v>6699692.0</v>
      </c>
      <c r="G688" s="84">
        <v>6831651.0</v>
      </c>
      <c r="H688" s="85" t="s">
        <v>165</v>
      </c>
    </row>
    <row r="689">
      <c r="B689" s="15" t="s">
        <v>756</v>
      </c>
      <c r="C689" t="str">
        <f>D60</f>
        <v>M1a2~</v>
      </c>
      <c r="F689" s="84">
        <v>6891091.0</v>
      </c>
      <c r="G689" s="84">
        <v>7023050.0</v>
      </c>
      <c r="H689" s="85" t="s">
        <v>234</v>
      </c>
    </row>
    <row r="690">
      <c r="B690" s="66" t="s">
        <v>98</v>
      </c>
      <c r="C690" t="str">
        <f>C61</f>
        <v>M1b~</v>
      </c>
      <c r="F690" s="66">
        <v>1.4344207E7</v>
      </c>
      <c r="G690" s="66">
        <v>1.2223502E7</v>
      </c>
      <c r="H690" s="66" t="s">
        <v>165</v>
      </c>
    </row>
    <row r="691">
      <c r="B691" s="15" t="s">
        <v>757</v>
      </c>
      <c r="C691" t="str">
        <f>B62</f>
        <v>M2</v>
      </c>
      <c r="E691" s="6" t="s">
        <v>758</v>
      </c>
      <c r="F691" s="84">
        <v>1.7309267E7</v>
      </c>
      <c r="G691" s="84">
        <v>1.5197387E7</v>
      </c>
      <c r="H691" s="85" t="s">
        <v>165</v>
      </c>
    </row>
    <row r="692">
      <c r="B692" s="15" t="s">
        <v>759</v>
      </c>
      <c r="C692" t="str">
        <f t="shared" ref="C692:C693" si="15">B62</f>
        <v>M2</v>
      </c>
      <c r="E692" s="6" t="s">
        <v>760</v>
      </c>
      <c r="F692" s="84">
        <v>2740274.0</v>
      </c>
      <c r="G692" s="84">
        <v>2872233.0</v>
      </c>
      <c r="H692" s="85" t="s">
        <v>253</v>
      </c>
    </row>
    <row r="693">
      <c r="B693" s="15" t="s">
        <v>102</v>
      </c>
      <c r="C693" t="str">
        <f t="shared" si="15"/>
        <v>M2~</v>
      </c>
      <c r="F693" s="84">
        <v>7746566.0</v>
      </c>
      <c r="G693" s="84">
        <v>7878525.0</v>
      </c>
      <c r="H693" s="85" t="s">
        <v>169</v>
      </c>
    </row>
    <row r="694">
      <c r="B694" s="15" t="s">
        <v>761</v>
      </c>
      <c r="C694" t="str">
        <f>C64</f>
        <v>M2a</v>
      </c>
      <c r="D694" s="15" t="s">
        <v>762</v>
      </c>
      <c r="F694" s="84">
        <v>2658869.0</v>
      </c>
      <c r="G694" s="84">
        <v>2790828.0</v>
      </c>
      <c r="H694" s="85" t="s">
        <v>165</v>
      </c>
    </row>
    <row r="695">
      <c r="B695" s="15" t="s">
        <v>762</v>
      </c>
      <c r="C695" t="str">
        <f>C64</f>
        <v>M2a</v>
      </c>
      <c r="D695" s="15" t="s">
        <v>761</v>
      </c>
      <c r="F695" s="84">
        <v>2658869.0</v>
      </c>
      <c r="G695" s="84">
        <v>2790828.0</v>
      </c>
      <c r="H695" s="85" t="s">
        <v>165</v>
      </c>
    </row>
    <row r="696">
      <c r="B696" s="15" t="s">
        <v>106</v>
      </c>
      <c r="C696" t="str">
        <f>B65</f>
        <v>M3</v>
      </c>
      <c r="F696" s="66">
        <v>1.4819693E7</v>
      </c>
      <c r="G696" s="99">
        <v>1.270776E7</v>
      </c>
      <c r="H696" s="96" t="s">
        <v>169</v>
      </c>
    </row>
    <row r="697">
      <c r="B697" s="15" t="s">
        <v>4</v>
      </c>
    </row>
  </sheetData>
  <mergeCells count="16">
    <mergeCell ref="C4:J4"/>
    <mergeCell ref="B10:K10"/>
    <mergeCell ref="B21:J21"/>
    <mergeCell ref="B22:J22"/>
    <mergeCell ref="B23:J23"/>
    <mergeCell ref="B26:D26"/>
    <mergeCell ref="C27:L27"/>
    <mergeCell ref="I56:J56"/>
    <mergeCell ref="C62:D62"/>
    <mergeCell ref="C28:L28"/>
    <mergeCell ref="F31:N31"/>
    <mergeCell ref="G33:H33"/>
    <mergeCell ref="I37:Q37"/>
    <mergeCell ref="H44:P44"/>
    <mergeCell ref="J49:Q49"/>
    <mergeCell ref="J52:Q52"/>
  </mergeCells>
  <hyperlinks>
    <hyperlink r:id="rId1" ref="D8"/>
    <hyperlink r:id="rId2" ref="B13"/>
    <hyperlink r:id="rId3" ref="C13"/>
    <hyperlink r:id="rId4" ref="G13"/>
    <hyperlink r:id="rId5" ref="I13"/>
    <hyperlink r:id="rId6" ref="A98"/>
    <hyperlink r:id="rId7" ref="A99"/>
    <hyperlink r:id="rId8" ref="A100"/>
    <hyperlink r:id="rId9" ref="A101"/>
    <hyperlink r:id="rId10" ref="A102"/>
    <hyperlink r:id="rId11" ref="A103"/>
    <hyperlink r:id="rId12" ref="A105"/>
    <hyperlink r:id="rId13" ref="A106"/>
    <hyperlink r:id="rId14" ref="A107"/>
    <hyperlink r:id="rId15" ref="A108"/>
    <hyperlink r:id="rId16" ref="A109"/>
    <hyperlink r:id="rId17" ref="A110"/>
    <hyperlink r:id="rId18" ref="A111"/>
    <hyperlink r:id="rId19" ref="A112"/>
    <hyperlink r:id="rId20" ref="A115"/>
  </hyperlinks>
  <drawing r:id="rId21"/>
</worksheet>
</file>